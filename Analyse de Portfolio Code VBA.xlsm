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ra2\Downloads\"/>
    </mc:Choice>
  </mc:AlternateContent>
  <xr:revisionPtr revIDLastSave="0" documentId="13_ncr:1_{E982464E-FE96-4217-AF03-A24D5117D8D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PortAnalysis" sheetId="15" r:id="rId1"/>
  </sheets>
  <functionGroups builtInGroupCount="19"/>
  <definedNames>
    <definedName name="AmortizationType">#REF!</definedName>
    <definedName name="interestRate" localSheetId="0">#REF!</definedName>
    <definedName name="interestRate">#REF!</definedName>
    <definedName name="numPerAfter">#REF!</definedName>
    <definedName name="PaymentFrequency">#REF!</definedName>
    <definedName name="PaymentType">#REF!</definedName>
    <definedName name="periods" localSheetId="0">#REF!</definedName>
    <definedName name="periods">#REF!</definedName>
    <definedName name="PMT">#REF!</definedName>
    <definedName name="PMTFrequency">#REF!</definedName>
    <definedName name="principal" localSheetId="0">#REF!</definedName>
    <definedName name="principal">#REF!</definedName>
    <definedName name="riskfreeRate" localSheetId="0">PortAnalysis!#REF!</definedName>
    <definedName name="riskfreeRat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" i="15" l="1" a="1"/>
  <c r="T14" i="15" s="1"/>
  <c r="S13" i="15"/>
  <c r="T10" i="15" a="1"/>
  <c r="T10" i="15" s="1"/>
  <c r="S9" i="15"/>
  <c r="P13" i="15" a="1"/>
  <c r="P13" i="15" s="1"/>
  <c r="P9" i="15" a="1"/>
  <c r="P9" i="15" s="1"/>
  <c r="O68" i="15"/>
  <c r="O67" i="15"/>
  <c r="L68" i="15"/>
  <c r="L67" i="15"/>
  <c r="L66" i="15"/>
  <c r="P66" i="15"/>
  <c r="N66" i="15"/>
  <c r="M66" i="15"/>
  <c r="L65" i="15"/>
  <c r="P65" i="15"/>
  <c r="N65" i="15"/>
  <c r="M65" i="15"/>
  <c r="L64" i="15"/>
  <c r="P64" i="15"/>
  <c r="N64" i="15"/>
  <c r="M64" i="15"/>
  <c r="L63" i="15"/>
  <c r="P63" i="15"/>
  <c r="N63" i="15"/>
  <c r="M63" i="15"/>
  <c r="L62" i="15"/>
  <c r="P62" i="15"/>
  <c r="N62" i="15"/>
  <c r="M62" i="15"/>
  <c r="L61" i="15"/>
  <c r="P61" i="15"/>
  <c r="N61" i="15"/>
  <c r="M61" i="15"/>
  <c r="L60" i="15"/>
  <c r="P60" i="15"/>
  <c r="N60" i="15"/>
  <c r="M60" i="15"/>
  <c r="L59" i="15"/>
  <c r="P59" i="15"/>
  <c r="N59" i="15"/>
  <c r="M59" i="15"/>
  <c r="L58" i="15"/>
  <c r="P58" i="15"/>
  <c r="N58" i="15"/>
  <c r="M58" i="15"/>
  <c r="L57" i="15"/>
  <c r="P57" i="15"/>
  <c r="N57" i="15"/>
  <c r="M57" i="15"/>
  <c r="L56" i="15"/>
  <c r="P56" i="15"/>
  <c r="N56" i="15"/>
  <c r="M56" i="15"/>
  <c r="L55" i="15"/>
  <c r="P55" i="15"/>
  <c r="N55" i="15"/>
  <c r="M55" i="15"/>
  <c r="L54" i="15"/>
  <c r="P54" i="15"/>
  <c r="N54" i="15"/>
  <c r="M54" i="15"/>
  <c r="L53" i="15"/>
  <c r="P53" i="15"/>
  <c r="N53" i="15"/>
  <c r="M53" i="15"/>
  <c r="L52" i="15"/>
  <c r="P52" i="15"/>
  <c r="N52" i="15"/>
  <c r="M52" i="15"/>
  <c r="L51" i="15"/>
  <c r="P51" i="15"/>
  <c r="N51" i="15"/>
  <c r="M51" i="15"/>
  <c r="L50" i="15"/>
  <c r="P50" i="15"/>
  <c r="N50" i="15"/>
  <c r="M50" i="15"/>
  <c r="L49" i="15"/>
  <c r="P49" i="15"/>
  <c r="N49" i="15"/>
  <c r="M49" i="15"/>
  <c r="L48" i="15"/>
  <c r="P48" i="15"/>
  <c r="N48" i="15"/>
  <c r="M48" i="15"/>
  <c r="L47" i="15"/>
  <c r="P47" i="15"/>
  <c r="N47" i="15"/>
  <c r="M47" i="15"/>
  <c r="L46" i="15"/>
  <c r="P46" i="15"/>
  <c r="N46" i="15"/>
  <c r="M46" i="15"/>
  <c r="L45" i="15"/>
  <c r="P45" i="15"/>
  <c r="N45" i="15"/>
  <c r="M45" i="15"/>
  <c r="L44" i="15"/>
  <c r="P44" i="15"/>
  <c r="N44" i="15"/>
  <c r="M44" i="15"/>
  <c r="L43" i="15"/>
  <c r="P43" i="15"/>
  <c r="N43" i="15"/>
  <c r="M43" i="15"/>
  <c r="L42" i="15"/>
  <c r="P42" i="15"/>
  <c r="N42" i="15"/>
  <c r="M42" i="15"/>
  <c r="L41" i="15"/>
  <c r="P41" i="15"/>
  <c r="N41" i="15"/>
  <c r="M41" i="15"/>
  <c r="L40" i="15"/>
  <c r="P40" i="15"/>
  <c r="N40" i="15"/>
  <c r="M40" i="15"/>
  <c r="L39" i="15"/>
  <c r="P39" i="15"/>
  <c r="N39" i="15"/>
  <c r="M39" i="15"/>
  <c r="L38" i="15"/>
  <c r="P38" i="15"/>
  <c r="N38" i="15"/>
  <c r="M38" i="15"/>
  <c r="L37" i="15"/>
  <c r="P37" i="15"/>
  <c r="N37" i="15"/>
  <c r="M37" i="15"/>
  <c r="L36" i="15"/>
  <c r="P36" i="15"/>
  <c r="N36" i="15"/>
  <c r="M36" i="15"/>
  <c r="L35" i="15"/>
  <c r="P35" i="15"/>
  <c r="N35" i="15"/>
  <c r="M35" i="15"/>
  <c r="L34" i="15"/>
  <c r="P34" i="15"/>
  <c r="N34" i="15"/>
  <c r="M34" i="15"/>
  <c r="L33" i="15"/>
  <c r="P33" i="15"/>
  <c r="N33" i="15"/>
  <c r="M33" i="15"/>
  <c r="L32" i="15"/>
  <c r="P32" i="15"/>
  <c r="N32" i="15"/>
  <c r="M32" i="15"/>
  <c r="L31" i="15"/>
  <c r="P31" i="15"/>
  <c r="N31" i="15"/>
  <c r="M31" i="15"/>
  <c r="L30" i="15"/>
  <c r="P30" i="15"/>
  <c r="N30" i="15"/>
  <c r="M30" i="15"/>
  <c r="L29" i="15"/>
  <c r="P29" i="15"/>
  <c r="N29" i="15"/>
  <c r="M29" i="15"/>
  <c r="L28" i="15"/>
  <c r="P28" i="15"/>
  <c r="N28" i="15"/>
  <c r="M28" i="15"/>
  <c r="L27" i="15"/>
  <c r="P27" i="15"/>
  <c r="N27" i="15"/>
  <c r="M27" i="15"/>
  <c r="L26" i="15"/>
  <c r="P26" i="15"/>
  <c r="N26" i="15"/>
  <c r="M26" i="15"/>
  <c r="L25" i="15"/>
  <c r="P25" i="15"/>
  <c r="N25" i="15"/>
  <c r="M25" i="15"/>
  <c r="L24" i="15"/>
  <c r="P24" i="15"/>
  <c r="N24" i="15"/>
  <c r="M24" i="15"/>
  <c r="L23" i="15"/>
  <c r="P23" i="15"/>
  <c r="N23" i="15"/>
  <c r="M23" i="15"/>
  <c r="P14" i="15" l="1"/>
  <c r="P10" i="15"/>
  <c r="K66" i="15"/>
  <c r="M68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ShenJian</author>
  </authors>
  <commentList>
    <comment ref="T9" authorId="0" shapeId="0" xr:uid="{134CC8D5-F371-48E2-B677-157A2E0B5945}">
      <text>
        <r>
          <rPr>
            <b/>
            <sz val="9"/>
            <color indexed="81"/>
            <rFont val="Tahoma"/>
            <family val="2"/>
          </rPr>
          <t>ShenJian:</t>
        </r>
        <r>
          <rPr>
            <sz val="9"/>
            <color indexed="81"/>
            <rFont val="Tahoma"/>
            <family val="2"/>
          </rPr>
          <t xml:space="preserve">
using traditional formula portfolio variance = w' Σ w</t>
        </r>
      </text>
    </comment>
    <comment ref="P66" authorId="0" shapeId="0" xr:uid="{18BE42DC-3B5D-4FF8-816D-2F97BDE60960}">
      <text>
        <r>
          <rPr>
            <b/>
            <sz val="9"/>
            <color indexed="81"/>
            <rFont val="Tahoma"/>
            <family val="2"/>
          </rPr>
          <t>ShenJian:</t>
        </r>
        <r>
          <rPr>
            <sz val="9"/>
            <color indexed="81"/>
            <rFont val="Tahoma"/>
            <family val="2"/>
          </rPr>
          <t xml:space="preserve">
the tangent portfolio has highest sharpe ratio, which can be used to check the calculation result. </t>
        </r>
      </text>
    </comment>
  </commentList>
</comments>
</file>

<file path=xl/sharedStrings.xml><?xml version="1.0" encoding="utf-8"?>
<sst xmlns="http://schemas.openxmlformats.org/spreadsheetml/2006/main" count="60" uniqueCount="40">
  <si>
    <t>Proportion</t>
  </si>
  <si>
    <t>asset 1</t>
  </si>
  <si>
    <t>asset 2</t>
  </si>
  <si>
    <t>Asset Data</t>
  </si>
  <si>
    <t>Exp Ret</t>
  </si>
  <si>
    <t>Std Dev</t>
  </si>
  <si>
    <t>Risk-free Rate</t>
  </si>
  <si>
    <t>Port Ret</t>
  </si>
  <si>
    <t>std dev</t>
  </si>
  <si>
    <t>(x-axis)</t>
  </si>
  <si>
    <t>Portfolio</t>
  </si>
  <si>
    <t>Std.</t>
  </si>
  <si>
    <t>Porfolio</t>
  </si>
  <si>
    <t>Expected</t>
  </si>
  <si>
    <t>Sharp</t>
  </si>
  <si>
    <t>Variance</t>
  </si>
  <si>
    <t>Dev.</t>
  </si>
  <si>
    <t>Ratio</t>
  </si>
  <si>
    <t>Cap Alloc Line</t>
  </si>
  <si>
    <t xml:space="preserve">Optimisation du Portfolio </t>
  </si>
  <si>
    <t>Résultat</t>
  </si>
  <si>
    <t>P&amp;G</t>
  </si>
  <si>
    <t>Date</t>
  </si>
  <si>
    <t>Prix</t>
  </si>
  <si>
    <t>Actif 1</t>
  </si>
  <si>
    <t>Actif 2</t>
  </si>
  <si>
    <t>L'Oreal</t>
  </si>
  <si>
    <t>Matrice de corrélation</t>
  </si>
  <si>
    <t xml:space="preserve">Matrice de covariance </t>
  </si>
  <si>
    <t>Le Portfolio Avec Variance Minimale</t>
  </si>
  <si>
    <t>Poids</t>
  </si>
  <si>
    <t>Actif  1</t>
  </si>
  <si>
    <t>Le Portfolio Risqué Optimal (le point de tangence)</t>
  </si>
  <si>
    <t xml:space="preserve">Portfolio Statistiques </t>
  </si>
  <si>
    <t xml:space="preserve">de </t>
  </si>
  <si>
    <t>Moyenne</t>
  </si>
  <si>
    <t>Retour Annuel</t>
  </si>
  <si>
    <t>Un actif sans risque</t>
  </si>
  <si>
    <t>Rendement</t>
  </si>
  <si>
    <t xml:space="preserve">Point Tangent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</si>
</sst>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%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5117038483843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5" fillId="0" borderId="0" xfId="0" applyFont="1"/>
    <xf numFmtId="0" fontId="6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/>
    <xf numFmtId="0" fontId="0" fillId="0" borderId="1" xfId="0" applyBorder="1"/>
    <xf numFmtId="0" fontId="0" fillId="0" borderId="3" xfId="0" applyBorder="1"/>
    <xf numFmtId="0" fontId="11" fillId="0" borderId="1" xfId="0" applyFont="1" applyBorder="1"/>
    <xf numFmtId="0" fontId="1" fillId="0" borderId="3" xfId="0" applyFont="1" applyBorder="1"/>
    <xf numFmtId="0" fontId="1" fillId="0" borderId="0" xfId="0" applyFont="1"/>
    <xf numFmtId="0" fontId="0" fillId="2" borderId="0" xfId="0" applyFill="1"/>
    <xf numFmtId="164" fontId="0" fillId="2" borderId="0" xfId="3" applyNumberFormat="1" applyFont="1" applyFill="1"/>
    <xf numFmtId="0" fontId="12" fillId="0" borderId="3" xfId="0" applyFont="1" applyBorder="1"/>
    <xf numFmtId="165" fontId="3" fillId="0" borderId="0" xfId="3" applyNumberFormat="1"/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3" xfId="0" applyFont="1" applyBorder="1"/>
    <xf numFmtId="0" fontId="6" fillId="0" borderId="0" xfId="0" applyFont="1" applyAlignment="1">
      <alignment horizontal="center"/>
    </xf>
    <xf numFmtId="0" fontId="14" fillId="3" borderId="0" xfId="0" applyFont="1" applyFill="1"/>
    <xf numFmtId="9" fontId="3" fillId="0" borderId="0" xfId="3"/>
    <xf numFmtId="10" fontId="0" fillId="2" borderId="0" xfId="3" applyNumberFormat="1" applyFont="1" applyFill="1"/>
    <xf numFmtId="10" fontId="0" fillId="2" borderId="0" xfId="0" applyNumberFormat="1" applyFill="1"/>
    <xf numFmtId="9" fontId="3" fillId="0" borderId="2" xfId="3" applyBorder="1"/>
    <xf numFmtId="10" fontId="0" fillId="2" borderId="2" xfId="3" applyNumberFormat="1" applyFont="1" applyFill="1" applyBorder="1"/>
    <xf numFmtId="10" fontId="0" fillId="2" borderId="2" xfId="0" applyNumberFormat="1" applyFill="1" applyBorder="1"/>
    <xf numFmtId="0" fontId="0" fillId="2" borderId="2" xfId="0" applyFill="1" applyBorder="1"/>
    <xf numFmtId="0" fontId="12" fillId="0" borderId="4" xfId="0" applyFont="1" applyBorder="1"/>
    <xf numFmtId="10" fontId="0" fillId="2" borderId="5" xfId="3" applyNumberFormat="1" applyFont="1" applyFill="1" applyBorder="1"/>
    <xf numFmtId="0" fontId="0" fillId="3" borderId="5" xfId="0" applyFill="1" applyBorder="1"/>
    <xf numFmtId="9" fontId="0" fillId="2" borderId="5" xfId="3" applyFont="1" applyFill="1" applyBorder="1"/>
    <xf numFmtId="0" fontId="0" fillId="2" borderId="5" xfId="0" applyFill="1" applyBorder="1"/>
    <xf numFmtId="0" fontId="6" fillId="2" borderId="0" xfId="0" applyFont="1" applyFill="1"/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center"/>
    </xf>
    <xf numFmtId="0" fontId="13" fillId="0" borderId="5" xfId="0" applyFont="1" applyBorder="1" applyAlignment="1">
      <alignment horizontal="center"/>
    </xf>
    <xf numFmtId="164" fontId="0" fillId="4" borderId="0" xfId="0" applyNumberFormat="1" applyFill="1"/>
    <xf numFmtId="0" fontId="4" fillId="0" borderId="0" xfId="0" applyFont="1"/>
    <xf numFmtId="164" fontId="14" fillId="0" borderId="0" xfId="0" applyNumberFormat="1" applyFont="1"/>
    <xf numFmtId="164" fontId="0" fillId="0" borderId="0" xfId="0" applyNumberFormat="1"/>
  </cellXfs>
  <cellStyles count="4">
    <cellStyle name="Normal" xfId="0" builtinId="0"/>
    <cellStyle name="Normal 2" xfId="1" xr:uid="{00000000-0005-0000-0000-000001000000}"/>
    <cellStyle name="Percent" xfId="3" builtinId="5"/>
    <cellStyle name="Pourcentage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GB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3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Frontier Curve and Capital Allocation Line</a:t>
            </a:r>
          </a:p>
        </c:rich>
      </c:tx>
      <c:layout>
        <c:manualLayout>
          <c:xMode val="edge"/>
          <c:yMode val="edge"/>
          <c:x val="2.2573455243548183E-4"/>
          <c:y val="3.842464986672395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GB"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Curve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PortAnalysis!$M$23:$M$65</c:f>
              <c:numCache>
                <c:formatCode>0.00%</c:formatCode>
                <c:ptCount val="43"/>
                <c:pt idx="0">
                  <c:v>0.48185802490814561</c:v>
                </c:pt>
                <c:pt idx="1">
                  <c:v>0.46185134945470691</c:v>
                </c:pt>
                <c:pt idx="2">
                  <c:v>0.44197112181754428</c:v>
                </c:pt>
                <c:pt idx="3">
                  <c:v>0.42223520311664425</c:v>
                </c:pt>
                <c:pt idx="4">
                  <c:v>0.40266481306915702</c:v>
                </c:pt>
                <c:pt idx="5">
                  <c:v>0.38328530798852034</c:v>
                </c:pt>
                <c:pt idx="6">
                  <c:v>0.36412716687781027</c:v>
                </c:pt>
                <c:pt idx="7">
                  <c:v>0.34522724501382696</c:v>
                </c:pt>
                <c:pt idx="8">
                  <c:v>0.32663036975147219</c:v>
                </c:pt>
                <c:pt idx="9">
                  <c:v>0.30839136967642305</c:v>
                </c:pt>
                <c:pt idx="10">
                  <c:v>0.29057764201773578</c:v>
                </c:pt>
                <c:pt idx="11">
                  <c:v>0.27327236576910724</c:v>
                </c:pt>
                <c:pt idx="12">
                  <c:v>0.25657844112137002</c:v>
                </c:pt>
                <c:pt idx="13">
                  <c:v>0.24062314457730394</c:v>
                </c:pt>
                <c:pt idx="14">
                  <c:v>0.22556327198158452</c:v>
                </c:pt>
                <c:pt idx="15">
                  <c:v>0.21159010451950883</c:v>
                </c:pt>
                <c:pt idx="16">
                  <c:v>0.19893276677532368</c:v>
                </c:pt>
                <c:pt idx="17">
                  <c:v>0.18785741871420533</c:v>
                </c:pt>
                <c:pt idx="18">
                  <c:v>0.17865851375686928</c:v>
                </c:pt>
                <c:pt idx="19">
                  <c:v>0.17163802029979527</c:v>
                </c:pt>
                <c:pt idx="20">
                  <c:v>0.16707078197525346</c:v>
                </c:pt>
                <c:pt idx="21">
                  <c:v>0.16516044644521485</c:v>
                </c:pt>
                <c:pt idx="22">
                  <c:v>0.16599876702226726</c:v>
                </c:pt>
                <c:pt idx="23">
                  <c:v>0.16954497615268205</c:v>
                </c:pt>
                <c:pt idx="24">
                  <c:v>0.17563512725842839</c:v>
                </c:pt>
                <c:pt idx="25">
                  <c:v>0.18401681341205056</c:v>
                </c:pt>
                <c:pt idx="26">
                  <c:v>0.19439384767100215</c:v>
                </c:pt>
                <c:pt idx="27">
                  <c:v>0.20646558819599556</c:v>
                </c:pt>
                <c:pt idx="28">
                  <c:v>0.21995317890103416</c:v>
                </c:pt>
                <c:pt idx="29">
                  <c:v>0.23461256021575758</c:v>
                </c:pt>
                <c:pt idx="30">
                  <c:v>0.25023788005832553</c:v>
                </c:pt>
                <c:pt idx="31">
                  <c:v>0.26665939046646686</c:v>
                </c:pt>
                <c:pt idx="32">
                  <c:v>0.28373888548202308</c:v>
                </c:pt>
                <c:pt idx="33">
                  <c:v>0.30136451424808441</c:v>
                </c:pt>
                <c:pt idx="34">
                  <c:v>0.31944588972806864</c:v>
                </c:pt>
                <c:pt idx="35">
                  <c:v>0.33790985955296005</c:v>
                </c:pt>
                <c:pt idx="36">
                  <c:v>0.35669701513303315</c:v>
                </c:pt>
                <c:pt idx="37">
                  <c:v>0.37575888376630506</c:v>
                </c:pt>
                <c:pt idx="38">
                  <c:v>0.39505570184032796</c:v>
                </c:pt>
                <c:pt idx="39">
                  <c:v>0.41455466115649814</c:v>
                </c:pt>
                <c:pt idx="40">
                  <c:v>0.43422853121297106</c:v>
                </c:pt>
                <c:pt idx="41">
                  <c:v>0.45405457629555901</c:v>
                </c:pt>
                <c:pt idx="42">
                  <c:v>0.47401370222101735</c:v>
                </c:pt>
              </c:numCache>
            </c:numRef>
          </c:xVal>
          <c:yVal>
            <c:numRef>
              <c:f>PortAnalysis!$N$23:$N$65</c:f>
              <c:numCache>
                <c:formatCode>0.00%</c:formatCode>
                <c:ptCount val="43"/>
                <c:pt idx="0">
                  <c:v>0.30921782698998468</c:v>
                </c:pt>
                <c:pt idx="1">
                  <c:v>0.29850388071658818</c:v>
                </c:pt>
                <c:pt idx="2">
                  <c:v>0.28778993444319162</c:v>
                </c:pt>
                <c:pt idx="3">
                  <c:v>0.27707598816979517</c:v>
                </c:pt>
                <c:pt idx="4">
                  <c:v>0.26636204189639862</c:v>
                </c:pt>
                <c:pt idx="5">
                  <c:v>0.25564809562300211</c:v>
                </c:pt>
                <c:pt idx="6">
                  <c:v>0.24493414934960553</c:v>
                </c:pt>
                <c:pt idx="7">
                  <c:v>0.23422020307620905</c:v>
                </c:pt>
                <c:pt idx="8">
                  <c:v>0.22350625680281247</c:v>
                </c:pt>
                <c:pt idx="9">
                  <c:v>0.21279231052941594</c:v>
                </c:pt>
                <c:pt idx="10">
                  <c:v>0.20207836425601958</c:v>
                </c:pt>
                <c:pt idx="11">
                  <c:v>0.19136441798262305</c:v>
                </c:pt>
                <c:pt idx="12">
                  <c:v>0.1806504717092266</c:v>
                </c:pt>
                <c:pt idx="13">
                  <c:v>0.1699365254358301</c:v>
                </c:pt>
                <c:pt idx="14">
                  <c:v>0.1592225791624336</c:v>
                </c:pt>
                <c:pt idx="15">
                  <c:v>0.14850863288903704</c:v>
                </c:pt>
                <c:pt idx="16">
                  <c:v>0.13779468661564054</c:v>
                </c:pt>
                <c:pt idx="17">
                  <c:v>0.12708074034224401</c:v>
                </c:pt>
                <c:pt idx="18">
                  <c:v>0.11636679406884747</c:v>
                </c:pt>
                <c:pt idx="19">
                  <c:v>0.105652847795451</c:v>
                </c:pt>
                <c:pt idx="20">
                  <c:v>9.4938901522054531E-2</c:v>
                </c:pt>
                <c:pt idx="21">
                  <c:v>8.4224955248658015E-2</c:v>
                </c:pt>
                <c:pt idx="22">
                  <c:v>7.3511008975261458E-2</c:v>
                </c:pt>
                <c:pt idx="23">
                  <c:v>6.2797062701864942E-2</c:v>
                </c:pt>
                <c:pt idx="24">
                  <c:v>5.2083116428468433E-2</c:v>
                </c:pt>
                <c:pt idx="25">
                  <c:v>4.1369170155071938E-2</c:v>
                </c:pt>
                <c:pt idx="26">
                  <c:v>3.0655223881675416E-2</c:v>
                </c:pt>
                <c:pt idx="27">
                  <c:v>1.9941277608278924E-2</c:v>
                </c:pt>
                <c:pt idx="28">
                  <c:v>9.227331334882391E-3</c:v>
                </c:pt>
                <c:pt idx="29">
                  <c:v>-1.4866149385140779E-3</c:v>
                </c:pt>
                <c:pt idx="30">
                  <c:v>-1.2200561211910606E-2</c:v>
                </c:pt>
                <c:pt idx="31">
                  <c:v>-2.2914507485307135E-2</c:v>
                </c:pt>
                <c:pt idx="32">
                  <c:v>-3.362845375870363E-2</c:v>
                </c:pt>
                <c:pt idx="33">
                  <c:v>-4.4342400032100139E-2</c:v>
                </c:pt>
                <c:pt idx="34">
                  <c:v>-5.5056346305496634E-2</c:v>
                </c:pt>
                <c:pt idx="35">
                  <c:v>-6.577029257889315E-2</c:v>
                </c:pt>
                <c:pt idx="36">
                  <c:v>-7.6484238852289665E-2</c:v>
                </c:pt>
                <c:pt idx="37">
                  <c:v>-8.7198185125686195E-2</c:v>
                </c:pt>
                <c:pt idx="38">
                  <c:v>-9.7912131399082697E-2</c:v>
                </c:pt>
                <c:pt idx="39">
                  <c:v>-0.1086260776724792</c:v>
                </c:pt>
                <c:pt idx="40">
                  <c:v>-0.11934002394587573</c:v>
                </c:pt>
                <c:pt idx="41">
                  <c:v>-0.13005397021927226</c:v>
                </c:pt>
                <c:pt idx="42">
                  <c:v>-0.14076791649266876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4-44CB-8C14-8ABCAFA0E415}"/>
            </c:ext>
          </c:extLst>
        </c:ser>
        <c:ser>
          <c:idx val="1"/>
          <c:order val="1"/>
          <c:tx>
            <c:v>Allocation Line</c:v>
          </c:tx>
          <c:spPr>
            <a:ln w="25400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circle"/>
              <c:size val="7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AF4-44CB-8C14-8ABCAFA0E415}"/>
              </c:ext>
            </c:extLst>
          </c:dPt>
          <c:xVal>
            <c:numRef>
              <c:f>PortAnalysis!$M$67:$M$68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0.84194102967238971</c:v>
                </c:pt>
              </c:numCache>
            </c:numRef>
          </c:xVal>
          <c:yVal>
            <c:numRef>
              <c:f>PortAnalysis!$O$67:$O$68</c:f>
              <c:numCache>
                <c:formatCode>0.00%</c:formatCode>
                <c:ptCount val="2"/>
                <c:pt idx="0">
                  <c:v>3.9604255319150147E-3</c:v>
                </c:pt>
                <c:pt idx="1">
                  <c:v>0.58471126623480452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4-44CB-8C14-8ABCAFA0E415}"/>
            </c:ext>
          </c:extLst>
        </c:ser>
        <c:ser>
          <c:idx val="2"/>
          <c:order val="2"/>
          <c:tx>
            <c:v>Risky asset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b="0"/>
                      <a:t>risky</a:t>
                    </a:r>
                    <a:r>
                      <a:rPr lang="en-US" b="1"/>
                      <a:t> </a:t>
                    </a:r>
                    <a:r>
                      <a:rPr lang="en-US" b="0"/>
                      <a:t>aseet</a:t>
                    </a:r>
                    <a:r>
                      <a:rPr lang="en-US" b="1"/>
                      <a:t>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AF4-44CB-8C14-8ABCAFA0E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PortAnalysis!$M$48</c:f>
              <c:numCache>
                <c:formatCode>0.00%</c:formatCode>
                <c:ptCount val="1"/>
                <c:pt idx="0">
                  <c:v>0.18401681341205056</c:v>
                </c:pt>
              </c:numCache>
            </c:numRef>
          </c:xVal>
          <c:yVal>
            <c:numRef>
              <c:f>PortAnalysis!$N$48</c:f>
              <c:numCache>
                <c:formatCode>0.00%</c:formatCode>
                <c:ptCount val="1"/>
                <c:pt idx="0">
                  <c:v>4.1369170155071938E-2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AF4-44CB-8C14-8ABCAFA0E415}"/>
            </c:ext>
          </c:extLst>
        </c:ser>
        <c:ser>
          <c:idx val="3"/>
          <c:order val="3"/>
          <c:tx>
            <c:v>risky asset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risky asset 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AF4-44CB-8C14-8ABCAFA0E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PortAnalysis!$M$38</c:f>
              <c:numCache>
                <c:formatCode>0.00%</c:formatCode>
                <c:ptCount val="1"/>
                <c:pt idx="0">
                  <c:v>0.21159010451950883</c:v>
                </c:pt>
              </c:numCache>
            </c:numRef>
          </c:xVal>
          <c:yVal>
            <c:numRef>
              <c:f>PortAnalysis!$N$38</c:f>
              <c:numCache>
                <c:formatCode>0.00%</c:formatCode>
                <c:ptCount val="1"/>
                <c:pt idx="0">
                  <c:v>0.14850863288903704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AF4-44CB-8C14-8ABCAFA0E415}"/>
            </c:ext>
          </c:extLst>
        </c:ser>
        <c:ser>
          <c:idx val="4"/>
          <c:order val="4"/>
          <c:tx>
            <c:v>risk free rate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58246A-935F-463A-BEB4-C17F82423919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8AF4-44CB-8C14-8ABCAFA0E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PortAnalysis!$O$67</c:f>
              <c:numCache>
                <c:formatCode>0.00%</c:formatCode>
                <c:ptCount val="1"/>
                <c:pt idx="0">
                  <c:v>3.9604255319150147E-3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F4-44CB-8C14-8ABCAFA0E415}"/>
            </c:ext>
          </c:extLst>
        </c:ser>
        <c:ser>
          <c:idx val="5"/>
          <c:order val="5"/>
          <c:tx>
            <c:v>tangent point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DA4AD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PortAnalysis!$M$66</c:f>
              <c:numCache>
                <c:formatCode>0.00%</c:formatCode>
                <c:ptCount val="1"/>
                <c:pt idx="0">
                  <c:v>0.24055457990639706</c:v>
                </c:pt>
              </c:numCache>
            </c:numRef>
          </c:xVal>
          <c:yVal>
            <c:numRef>
              <c:f>PortAnalysis!$O$66</c:f>
              <c:numCache>
                <c:formatCode>0.00%</c:formatCode>
                <c:ptCount val="1"/>
                <c:pt idx="0">
                  <c:v>0.16988923716131199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F4-44CB-8C14-8ABCAFA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573448"/>
        <c:axId val="1085579680"/>
      </c:scatterChart>
      <c:valAx>
        <c:axId val="1085573448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579680"/>
        <c:crosses val="autoZero"/>
        <c:crossBetween val="midCat"/>
      </c:valAx>
      <c:valAx>
        <c:axId val="1085579680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Annual</a:t>
                </a:r>
                <a:r>
                  <a:rPr lang="en-GB" sz="1200" b="1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GB" sz="1200" b="1">
                    <a:solidFill>
                      <a:sysClr val="windowText" lastClr="000000"/>
                    </a:solidFill>
                  </a:rPr>
                  <a:t>Expected Return</a:t>
                </a:r>
                <a:r>
                  <a:rPr lang="en-GB" sz="1200" b="1" baseline="0">
                    <a:solidFill>
                      <a:sysClr val="windowText" lastClr="000000"/>
                    </a:solidFill>
                  </a:rPr>
                  <a:t> </a:t>
                </a:r>
                <a:endParaRPr lang="en-GB" sz="12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3.0234315948601664E-2"/>
              <c:y val="0.141546989166036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57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Sharpe ratio of different portfolio weights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PortAnalysis!$K$23:$K$65</c:f>
              <c:numCache>
                <c:formatCode>0%</c:formatCode>
                <c:ptCount val="43"/>
                <c:pt idx="0">
                  <c:v>-1.5</c:v>
                </c:pt>
                <c:pt idx="1">
                  <c:v>-1.4</c:v>
                </c:pt>
                <c:pt idx="2">
                  <c:v>-1.3</c:v>
                </c:pt>
                <c:pt idx="3">
                  <c:v>-1.2</c:v>
                </c:pt>
                <c:pt idx="4">
                  <c:v>-1.1000000000000001</c:v>
                </c:pt>
                <c:pt idx="5">
                  <c:v>-1</c:v>
                </c:pt>
                <c:pt idx="6">
                  <c:v>-0.89999999999999902</c:v>
                </c:pt>
                <c:pt idx="7">
                  <c:v>-0.79999999999999905</c:v>
                </c:pt>
                <c:pt idx="8">
                  <c:v>-0.69999999999999896</c:v>
                </c:pt>
                <c:pt idx="9">
                  <c:v>-0.59999999999999898</c:v>
                </c:pt>
                <c:pt idx="10">
                  <c:v>-0.5</c:v>
                </c:pt>
                <c:pt idx="11">
                  <c:v>-0.4</c:v>
                </c:pt>
                <c:pt idx="12">
                  <c:v>-0.3</c:v>
                </c:pt>
                <c:pt idx="13">
                  <c:v>-0.2</c:v>
                </c:pt>
                <c:pt idx="14">
                  <c:v>-0.1</c:v>
                </c:pt>
                <c:pt idx="15">
                  <c:v>0</c:v>
                </c:pt>
                <c:pt idx="16">
                  <c:v>0.1</c:v>
                </c:pt>
                <c:pt idx="17">
                  <c:v>0.2</c:v>
                </c:pt>
                <c:pt idx="18">
                  <c:v>0.3</c:v>
                </c:pt>
                <c:pt idx="19">
                  <c:v>0.4</c:v>
                </c:pt>
                <c:pt idx="20">
                  <c:v>0.5</c:v>
                </c:pt>
                <c:pt idx="21">
                  <c:v>0.6</c:v>
                </c:pt>
                <c:pt idx="22">
                  <c:v>0.7</c:v>
                </c:pt>
                <c:pt idx="23">
                  <c:v>0.8</c:v>
                </c:pt>
                <c:pt idx="24">
                  <c:v>0.9</c:v>
                </c:pt>
                <c:pt idx="25">
                  <c:v>1</c:v>
                </c:pt>
                <c:pt idx="26">
                  <c:v>1.1000000000000001</c:v>
                </c:pt>
                <c:pt idx="27">
                  <c:v>1.2</c:v>
                </c:pt>
                <c:pt idx="28">
                  <c:v>1.3</c:v>
                </c:pt>
                <c:pt idx="29">
                  <c:v>1.4</c:v>
                </c:pt>
                <c:pt idx="30">
                  <c:v>1.5</c:v>
                </c:pt>
                <c:pt idx="31">
                  <c:v>1.6</c:v>
                </c:pt>
                <c:pt idx="32">
                  <c:v>1.7</c:v>
                </c:pt>
                <c:pt idx="33">
                  <c:v>1.8</c:v>
                </c:pt>
                <c:pt idx="34">
                  <c:v>1.9</c:v>
                </c:pt>
                <c:pt idx="35">
                  <c:v>2</c:v>
                </c:pt>
                <c:pt idx="36">
                  <c:v>2.1</c:v>
                </c:pt>
                <c:pt idx="37">
                  <c:v>2.2000000000000002</c:v>
                </c:pt>
                <c:pt idx="38">
                  <c:v>2.2999999999999998</c:v>
                </c:pt>
                <c:pt idx="39">
                  <c:v>2.4</c:v>
                </c:pt>
                <c:pt idx="40">
                  <c:v>2.5</c:v>
                </c:pt>
                <c:pt idx="41">
                  <c:v>2.6</c:v>
                </c:pt>
                <c:pt idx="42">
                  <c:v>2.7</c:v>
                </c:pt>
              </c:numCache>
            </c:numRef>
          </c:xVal>
          <c:yVal>
            <c:numRef>
              <c:f>PortAnalysis!$P$23:$P$65</c:f>
              <c:numCache>
                <c:formatCode>General</c:formatCode>
                <c:ptCount val="43"/>
                <c:pt idx="0">
                  <c:v>0.18287590306038601</c:v>
                </c:pt>
                <c:pt idx="1">
                  <c:v>0.18410116516893557</c:v>
                </c:pt>
                <c:pt idx="2">
                  <c:v>0.18538433314375424</c:v>
                </c:pt>
                <c:pt idx="3">
                  <c:v>0.18672453462542715</c:v>
                </c:pt>
                <c:pt idx="4">
                  <c:v>0.18811880120477284</c:v>
                </c:pt>
                <c:pt idx="5">
                  <c:v>0.18956106723917404</c:v>
                </c:pt>
                <c:pt idx="6">
                  <c:v>0.19104073654638437</c:v>
                </c:pt>
                <c:pt idx="7">
                  <c:v>0.19254063297266272</c:v>
                </c:pt>
                <c:pt idx="8">
                  <c:v>0.19403407723562041</c:v>
                </c:pt>
                <c:pt idx="9">
                  <c:v>0.19548073790973827</c:v>
                </c:pt>
                <c:pt idx="10">
                  <c:v>0.19682079539807476</c:v>
                </c:pt>
                <c:pt idx="11">
                  <c:v>0.19796686207936065</c:v>
                </c:pt>
                <c:pt idx="12">
                  <c:v>0.1987930967187988</c:v>
                </c:pt>
                <c:pt idx="13">
                  <c:v>0.19912121530724966</c:v>
                </c:pt>
                <c:pt idx="14">
                  <c:v>0.19870399424082527</c:v>
                </c:pt>
                <c:pt idx="15">
                  <c:v>0.19720900138034958</c:v>
                </c:pt>
                <c:pt idx="16">
                  <c:v>0.1942094505495722</c:v>
                </c:pt>
                <c:pt idx="17">
                  <c:v>0.18919547437888792</c:v>
                </c:pt>
                <c:pt idx="18">
                  <c:v>0.18162539743766049</c:v>
                </c:pt>
                <c:pt idx="19">
                  <c:v>0.17103479539628444</c:v>
                </c:pt>
                <c:pt idx="20">
                  <c:v>0.15719818565028676</c:v>
                </c:pt>
                <c:pt idx="21">
                  <c:v>0.14029009013883936</c:v>
                </c:pt>
                <c:pt idx="22">
                  <c:v>0.12094983834405576</c:v>
                </c:pt>
                <c:pt idx="23">
                  <c:v>0.10017798544998519</c:v>
                </c:pt>
                <c:pt idx="24">
                  <c:v>7.9094794352765174E-2</c:v>
                </c:pt>
                <c:pt idx="25">
                  <c:v>5.8684715754379127E-2</c:v>
                </c:pt>
                <c:pt idx="26">
                  <c:v>3.9641812736998468E-2</c:v>
                </c:pt>
                <c:pt idx="27">
                  <c:v>2.2344036429474214E-2</c:v>
                </c:pt>
                <c:pt idx="28">
                  <c:v>6.9124926912463901E-3</c:v>
                </c:pt>
                <c:pt idx="29">
                  <c:v>-6.7022206291873568E-3</c:v>
                </c:pt>
                <c:pt idx="30">
                  <c:v>-1.8643360559046713E-2</c:v>
                </c:pt>
                <c:pt idx="31">
                  <c:v>-2.9093762242544355E-2</c:v>
                </c:pt>
                <c:pt idx="32">
                  <c:v>-3.8242818815805213E-2</c:v>
                </c:pt>
                <c:pt idx="33">
                  <c:v>-4.6268966689035046E-2</c:v>
                </c:pt>
                <c:pt idx="34">
                  <c:v>-5.333195730901031E-2</c:v>
                </c:pt>
                <c:pt idx="35">
                  <c:v>-5.957069279559047E-2</c:v>
                </c:pt>
                <c:pt idx="36">
                  <c:v>-6.5103921068371873E-2</c:v>
                </c:pt>
                <c:pt idx="37">
                  <c:v>-7.0032207721335865E-2</c:v>
                </c:pt>
                <c:pt idx="38">
                  <c:v>-7.4440323090082985E-2</c:v>
                </c:pt>
                <c:pt idx="39">
                  <c:v>-7.839961050110697E-2</c:v>
                </c:pt>
                <c:pt idx="40">
                  <c:v>-8.1970140813121525E-2</c:v>
                </c:pt>
                <c:pt idx="41">
                  <c:v>-8.520258521947835E-2</c:v>
                </c:pt>
                <c:pt idx="42">
                  <c:v>-8.8139801482258431E-2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96-44FF-9777-AB4F721FE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6271"/>
        <c:axId val="2143116736"/>
      </c:scatterChart>
      <c:valAx>
        <c:axId val="44666271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143116736"/>
        <c:crosses val="autoZero"/>
        <c:crossBetween val="midCat"/>
      </c:valAx>
      <c:valAx>
        <c:axId val="214311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662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R$19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19</xdr:row>
          <xdr:rowOff>104775</xdr:rowOff>
        </xdr:from>
        <xdr:to>
          <xdr:col>19</xdr:col>
          <xdr:colOff>0</xdr:colOff>
          <xdr:row>23</xdr:row>
          <xdr:rowOff>19050</xdr:rowOff>
        </xdr:to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12133447" y="4475938"/>
              <a:ext cx="1216320" cy="623112"/>
              <a:chOff x="9963179" y="2905139"/>
              <a:chExt cx="1343024" cy="676273"/>
            </a:xfrm>
          </xdr:grpSpPr>
          <xdr:sp macro="" textlink="">
            <xdr:nvSpPr>
              <xdr:cNvPr id="8193" name="Group Box 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000-000001200000}"/>
                  </a:ext>
                </a:extLst>
              </xdr:cNvPr>
              <xdr:cNvSpPr/>
            </xdr:nvSpPr>
            <xdr:spPr bwMode="auto">
              <a:xfrm>
                <a:off x="9963179" y="2905139"/>
                <a:ext cx="1343024" cy="67627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2860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on the Graph</a:t>
                </a:r>
              </a:p>
            </xdr:txBody>
          </xdr:sp>
          <xdr:sp macro="" textlink="">
            <xdr:nvSpPr>
              <xdr:cNvPr id="8194" name="Option Button 2" descr="Frontier Curve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000-000002200000}"/>
                  </a:ext>
                </a:extLst>
              </xdr:cNvPr>
              <xdr:cNvSpPr/>
            </xdr:nvSpPr>
            <xdr:spPr bwMode="auto">
              <a:xfrm>
                <a:off x="10115549" y="3067049"/>
                <a:ext cx="1028700" cy="2095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CCFFCC" mc:Ignorable="a14" a14:legacySpreadsheetColorIndex="42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6600" mc:Ignorable="a14" a14:legacySpreadsheetColorIndex="53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   Frontier Curve</a:t>
                </a:r>
              </a:p>
            </xdr:txBody>
          </xdr:sp>
          <xdr:sp macro="" textlink="">
            <xdr:nvSpPr>
              <xdr:cNvPr id="8195" name="Option Button 3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000-000003200000}"/>
                  </a:ext>
                </a:extLst>
              </xdr:cNvPr>
              <xdr:cNvSpPr/>
            </xdr:nvSpPr>
            <xdr:spPr bwMode="auto">
              <a:xfrm>
                <a:off x="10115549" y="3362325"/>
                <a:ext cx="1028700" cy="2095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CCFFFF" mc:Ignorable="a14" a14:legacySpreadsheetColorIndex="41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6600" mc:Ignorable="a14" a14:legacySpreadsheetColorIndex="53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+ Allocation Line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19</xdr:col>
      <xdr:colOff>152401</xdr:colOff>
      <xdr:row>15</xdr:row>
      <xdr:rowOff>19055</xdr:rowOff>
    </xdr:from>
    <xdr:to>
      <xdr:col>25</xdr:col>
      <xdr:colOff>428625</xdr:colOff>
      <xdr:row>32</xdr:row>
      <xdr:rowOff>76200</xdr:rowOff>
    </xdr:to>
    <xdr:graphicFrame macro="">
      <xdr:nvGraphicFramePr>
        <xdr:cNvPr id="11" name="Chart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565150</xdr:colOff>
          <xdr:row>15</xdr:row>
          <xdr:rowOff>114300</xdr:rowOff>
        </xdr:from>
        <xdr:to>
          <xdr:col>19</xdr:col>
          <xdr:colOff>31750</xdr:colOff>
          <xdr:row>18</xdr:row>
          <xdr:rowOff>146050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Portfolio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603250</xdr:colOff>
          <xdr:row>24</xdr:row>
          <xdr:rowOff>31750</xdr:rowOff>
        </xdr:from>
        <xdr:to>
          <xdr:col>19</xdr:col>
          <xdr:colOff>95250</xdr:colOff>
          <xdr:row>27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34</xdr:row>
      <xdr:rowOff>0</xdr:rowOff>
    </xdr:from>
    <xdr:to>
      <xdr:col>27</xdr:col>
      <xdr:colOff>177800</xdr:colOff>
      <xdr:row>51</xdr:row>
      <xdr:rowOff>44450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19D7C-AB9D-4558-8A4B-07B0A24B5879}">
  <sheetPr codeName="Sheet2"/>
  <dimension ref="A1:Y68"/>
  <sheetViews>
    <sheetView showGridLines="0" tabSelected="1" zoomScale="43" zoomScaleNormal="85" workbookViewId="0">
      <selection activeCell="P80" sqref="P80"/>
    </sheetView>
  </sheetViews>
  <sheetFormatPr defaultRowHeight="14.5" x14ac:dyDescent="0.35"/>
  <cols>
    <col min="1" max="1" width="12.81640625" style="3" customWidth="1"/>
    <col min="2" max="2" width="14.26953125" bestFit="1" customWidth="1"/>
    <col min="3" max="3" width="15.81640625" customWidth="1"/>
    <col min="4" max="4" width="7.453125" customWidth="1"/>
    <col min="5" max="5" width="11.08984375" bestFit="1" customWidth="1"/>
    <col min="6" max="6" width="12.7265625" customWidth="1"/>
    <col min="7" max="7" width="2.26953125" customWidth="1"/>
    <col min="8" max="8" width="9.1796875" customWidth="1"/>
    <col min="9" max="9" width="11.453125" customWidth="1"/>
    <col min="10" max="10" width="14.453125" bestFit="1" customWidth="1"/>
    <col min="11" max="11" width="9.54296875" bestFit="1" customWidth="1"/>
    <col min="15" max="15" width="9.54296875" bestFit="1" customWidth="1"/>
  </cols>
  <sheetData>
    <row r="1" spans="1:25" ht="31" x14ac:dyDescent="0.7">
      <c r="A1" s="38" t="s">
        <v>19</v>
      </c>
      <c r="I1" s="4"/>
      <c r="J1" s="38" t="s">
        <v>20</v>
      </c>
    </row>
    <row r="2" spans="1:25" ht="18.5" x14ac:dyDescent="0.45">
      <c r="A2" s="5"/>
      <c r="I2" s="4"/>
    </row>
    <row r="3" spans="1:25" ht="71.25" customHeight="1" x14ac:dyDescent="0.35">
      <c r="A3"/>
      <c r="C3" s="6"/>
      <c r="I3" s="4"/>
      <c r="J3" s="7"/>
    </row>
    <row r="4" spans="1:25" x14ac:dyDescent="0.35">
      <c r="A4" s="35" t="s">
        <v>24</v>
      </c>
      <c r="B4" s="35" t="s">
        <v>21</v>
      </c>
      <c r="C4" s="8"/>
      <c r="D4" s="33" t="s">
        <v>25</v>
      </c>
      <c r="E4" s="33" t="s">
        <v>26</v>
      </c>
      <c r="F4" s="10"/>
      <c r="G4" s="33"/>
      <c r="H4" s="33" t="s">
        <v>37</v>
      </c>
      <c r="I4" s="35"/>
      <c r="J4" s="9" t="s">
        <v>3</v>
      </c>
      <c r="L4" t="s">
        <v>4</v>
      </c>
      <c r="M4" t="s">
        <v>5</v>
      </c>
      <c r="O4" s="10" t="s">
        <v>6</v>
      </c>
    </row>
    <row r="5" spans="1:25" x14ac:dyDescent="0.35">
      <c r="A5" s="35" t="s">
        <v>22</v>
      </c>
      <c r="B5" s="35" t="s">
        <v>23</v>
      </c>
      <c r="C5" s="34" t="s">
        <v>38</v>
      </c>
      <c r="D5" s="33"/>
      <c r="E5" s="33" t="s">
        <v>23</v>
      </c>
      <c r="F5" s="33" t="s">
        <v>38</v>
      </c>
      <c r="G5" s="35"/>
      <c r="H5" s="33" t="s">
        <v>23</v>
      </c>
      <c r="I5" s="35" t="s">
        <v>38</v>
      </c>
      <c r="J5" s="7"/>
      <c r="K5" t="s">
        <v>24</v>
      </c>
      <c r="L5" s="11">
        <v>4.1369170155071938E-2</v>
      </c>
      <c r="M5" s="11">
        <v>0.18401681341205056</v>
      </c>
      <c r="O5" s="12">
        <v>3.9604255319150147E-3</v>
      </c>
      <c r="X5" s="1"/>
    </row>
    <row r="6" spans="1:25" x14ac:dyDescent="0.35">
      <c r="A6" s="3">
        <v>43831</v>
      </c>
      <c r="B6">
        <v>124.620003</v>
      </c>
      <c r="E6">
        <v>251.89999399999999</v>
      </c>
      <c r="H6">
        <v>100</v>
      </c>
      <c r="I6" s="4"/>
      <c r="J6" s="7"/>
      <c r="K6" t="s">
        <v>25</v>
      </c>
      <c r="L6" s="11">
        <v>0.14850863288903704</v>
      </c>
      <c r="M6" s="11">
        <v>0.21159010451950883</v>
      </c>
      <c r="X6" s="1"/>
    </row>
    <row r="7" spans="1:25" x14ac:dyDescent="0.35">
      <c r="A7" s="3">
        <v>43862</v>
      </c>
      <c r="B7">
        <v>113.230003</v>
      </c>
      <c r="C7" s="37">
        <v>-9.5847956368565079E-2</v>
      </c>
      <c r="E7">
        <v>241</v>
      </c>
      <c r="F7" s="37">
        <v>-4.4235226048933429E-2</v>
      </c>
      <c r="H7">
        <v>100.00166668055563</v>
      </c>
      <c r="I7" s="37">
        <v>1.666666666668187E-5</v>
      </c>
      <c r="J7" s="9" t="s">
        <v>27</v>
      </c>
      <c r="O7" s="10" t="s">
        <v>29</v>
      </c>
      <c r="X7" s="1"/>
    </row>
    <row r="8" spans="1:25" x14ac:dyDescent="0.35">
      <c r="A8" s="3">
        <v>43891</v>
      </c>
      <c r="B8">
        <v>110</v>
      </c>
      <c r="C8" s="37">
        <v>-2.8940809028276761E-2</v>
      </c>
      <c r="E8">
        <v>238.89999399999999</v>
      </c>
      <c r="F8" s="37">
        <v>-8.7519042740024002E-3</v>
      </c>
      <c r="H8">
        <v>100.00416675347343</v>
      </c>
      <c r="I8" s="37">
        <v>2.5000000000027943E-5</v>
      </c>
      <c r="J8" s="7"/>
      <c r="L8" t="s">
        <v>24</v>
      </c>
      <c r="M8" t="s">
        <v>25</v>
      </c>
      <c r="P8" t="s">
        <v>30</v>
      </c>
    </row>
    <row r="9" spans="1:25" x14ac:dyDescent="0.35">
      <c r="A9" s="3">
        <v>43922</v>
      </c>
      <c r="B9">
        <v>117.870003</v>
      </c>
      <c r="C9" s="37">
        <v>6.9101981897830386E-2</v>
      </c>
      <c r="E9">
        <v>265.29998799999998</v>
      </c>
      <c r="F9" s="37">
        <v>0.10481618669522719</v>
      </c>
      <c r="H9">
        <v>100.00583350347553</v>
      </c>
      <c r="I9" s="37">
        <v>1.666666666668187E-5</v>
      </c>
      <c r="J9" s="7"/>
      <c r="K9" t="s">
        <v>24</v>
      </c>
      <c r="L9" s="11">
        <v>1.0000000000000002</v>
      </c>
      <c r="M9" s="11">
        <v>0.42400232198476318</v>
      </c>
      <c r="O9" t="s">
        <v>31</v>
      </c>
      <c r="P9" s="11">
        <f t="array" ref="P9:P10">MMULT(MINVERSE(L13:M14),U9:U10)/MMULT(TRANSPOSE(U9:U10),MMULT(MINVERSE(L13:M14),U9:U10))</f>
        <v>0.61956917547364398</v>
      </c>
      <c r="R9" t="s">
        <v>7</v>
      </c>
      <c r="S9" s="11">
        <f>SUMPRODUCT($L$5:$L$6,P9:P10)</f>
        <v>8.2128324302265063E-2</v>
      </c>
      <c r="U9" s="2">
        <v>1</v>
      </c>
    </row>
    <row r="10" spans="1:25" x14ac:dyDescent="0.35">
      <c r="A10" s="3">
        <v>43952</v>
      </c>
      <c r="B10">
        <v>115.91999800000001</v>
      </c>
      <c r="C10" s="37">
        <v>-1.6682066931097909E-2</v>
      </c>
      <c r="E10">
        <v>261.89999399999999</v>
      </c>
      <c r="F10" s="37">
        <v>-1.2898487307721323E-2</v>
      </c>
      <c r="H10">
        <v>100.0073336022288</v>
      </c>
      <c r="I10" s="37">
        <v>1.4999999999989163E-5</v>
      </c>
      <c r="J10" s="7"/>
      <c r="K10" t="s">
        <v>25</v>
      </c>
      <c r="L10" s="11">
        <v>0.42400232198476318</v>
      </c>
      <c r="M10" s="11">
        <v>1</v>
      </c>
      <c r="O10" t="s">
        <v>25</v>
      </c>
      <c r="P10" s="11">
        <v>0.38043082452635596</v>
      </c>
      <c r="R10" t="s">
        <v>8</v>
      </c>
      <c r="S10" s="11">
        <v>0.16510755544142622</v>
      </c>
      <c r="T10">
        <f t="array" ref="T10">SQRT(MMULT(TRANSPOSE(P9:P10),MMULT(($L$13:$M$14),P9:P10)))</f>
        <v>0.16510755544142619</v>
      </c>
      <c r="U10" s="2">
        <v>1</v>
      </c>
    </row>
    <row r="11" spans="1:25" x14ac:dyDescent="0.35">
      <c r="A11" s="3">
        <v>43983</v>
      </c>
      <c r="B11">
        <v>119.57</v>
      </c>
      <c r="C11" s="37">
        <v>3.1001693172339757E-2</v>
      </c>
      <c r="E11">
        <v>285.70001200000002</v>
      </c>
      <c r="F11" s="37">
        <v>8.6979622634668158E-2</v>
      </c>
      <c r="H11">
        <v>100.0088337234837</v>
      </c>
      <c r="I11" s="37">
        <v>1.4999999999989163E-5</v>
      </c>
      <c r="J11" s="7"/>
      <c r="O11" s="10" t="s">
        <v>32</v>
      </c>
    </row>
    <row r="12" spans="1:25" x14ac:dyDescent="0.35">
      <c r="A12" s="3">
        <v>44013</v>
      </c>
      <c r="B12">
        <v>131.11999499999999</v>
      </c>
      <c r="C12" s="37">
        <v>9.221092237107692E-2</v>
      </c>
      <c r="E12">
        <v>283</v>
      </c>
      <c r="F12" s="37">
        <v>-9.4954535955890894E-3</v>
      </c>
      <c r="H12">
        <v>100.00991715838431</v>
      </c>
      <c r="I12" s="37">
        <v>1.0833333333363791E-5</v>
      </c>
      <c r="J12" s="9" t="s">
        <v>28</v>
      </c>
      <c r="L12" t="s">
        <v>24</v>
      </c>
      <c r="M12" t="s">
        <v>25</v>
      </c>
      <c r="P12" t="s">
        <v>30</v>
      </c>
    </row>
    <row r="13" spans="1:25" x14ac:dyDescent="0.35">
      <c r="A13" s="3">
        <v>44044</v>
      </c>
      <c r="B13">
        <v>138.33000200000001</v>
      </c>
      <c r="C13" s="37">
        <v>5.3529253042338125E-2</v>
      </c>
      <c r="E13">
        <v>276.89999399999999</v>
      </c>
      <c r="F13" s="37">
        <v>-2.1790489134794061E-2</v>
      </c>
      <c r="H13">
        <v>100.01016718348974</v>
      </c>
      <c r="I13" s="37">
        <v>2.4999999999585214E-6</v>
      </c>
      <c r="J13" s="7"/>
      <c r="K13" t="s">
        <v>1</v>
      </c>
      <c r="L13" s="11">
        <v>3.3862187618325428E-2</v>
      </c>
      <c r="M13" s="11">
        <v>1.6509012405194305E-2</v>
      </c>
      <c r="O13" t="s">
        <v>24</v>
      </c>
      <c r="P13" s="11">
        <f t="array" ref="P13:P14">MMULT(MINVERSE(L13:M14),(L5:L6-O5*U9:U10)/MMULT(TRANSPOSE(U9:U10),MMULT(MINVERSE(L13:M14),(L5:L6-O5*U9:U10))))</f>
        <v>-0.19955862878801778</v>
      </c>
      <c r="R13" t="s">
        <v>7</v>
      </c>
      <c r="S13" s="11">
        <f>SUMPRODUCT($L$5:$L$6,P13:P14)</f>
        <v>0.16988923716131205</v>
      </c>
    </row>
    <row r="14" spans="1:25" x14ac:dyDescent="0.35">
      <c r="A14" s="3">
        <v>44075</v>
      </c>
      <c r="B14">
        <v>138.990005</v>
      </c>
      <c r="C14" s="37">
        <v>4.759874725573458E-3</v>
      </c>
      <c r="E14">
        <v>277.60000600000001</v>
      </c>
      <c r="F14" s="37">
        <v>2.5248417380385442E-3</v>
      </c>
      <c r="H14">
        <v>100.01058389338782</v>
      </c>
      <c r="I14" s="37">
        <v>4.1666666666271147E-6</v>
      </c>
      <c r="J14" s="7"/>
      <c r="K14" t="s">
        <v>2</v>
      </c>
      <c r="L14" s="11">
        <v>1.6509012405194305E-2</v>
      </c>
      <c r="M14" s="11">
        <v>4.4770372330576666E-2</v>
      </c>
      <c r="O14" t="s">
        <v>25</v>
      </c>
      <c r="P14" s="11">
        <v>1.1995586287880178</v>
      </c>
      <c r="R14" t="s">
        <v>8</v>
      </c>
      <c r="S14" s="11">
        <v>0.24055457990639706</v>
      </c>
      <c r="T14">
        <f t="array" ref="T14">SQRT(MMULT(TRANSPOSE(P13:P14),MMULT(($L$13:$M$14),P13:P14)))</f>
        <v>0.24055457990639703</v>
      </c>
      <c r="Y14" s="2" t="b">
        <v>0</v>
      </c>
    </row>
    <row r="15" spans="1:25" x14ac:dyDescent="0.35">
      <c r="A15" s="3">
        <v>44105</v>
      </c>
      <c r="B15">
        <v>137.10000600000001</v>
      </c>
      <c r="C15" s="37">
        <v>-1.369139373853309E-2</v>
      </c>
      <c r="E15">
        <v>277.70001200000002</v>
      </c>
      <c r="F15" s="37">
        <v>3.6018727837021413E-4</v>
      </c>
      <c r="H15">
        <v>100.0136676005981</v>
      </c>
      <c r="I15" s="37">
        <v>3.0833333333296533E-5</v>
      </c>
      <c r="J15" s="7"/>
    </row>
    <row r="16" spans="1:25" x14ac:dyDescent="0.35">
      <c r="A16" s="3">
        <v>44136</v>
      </c>
      <c r="B16">
        <v>138.86999499999999</v>
      </c>
      <c r="C16" s="37">
        <v>1.2827577374447592E-2</v>
      </c>
      <c r="E16">
        <v>306.79998799999998</v>
      </c>
      <c r="F16" s="37">
        <v>9.9654592854819035E-2</v>
      </c>
      <c r="H16">
        <v>100.01408432508127</v>
      </c>
      <c r="I16" s="37">
        <v>4.1666666666271147E-6</v>
      </c>
      <c r="J16" s="7"/>
    </row>
    <row r="17" spans="1:19" x14ac:dyDescent="0.35">
      <c r="A17" s="3">
        <v>44166</v>
      </c>
      <c r="B17">
        <v>139.13999899999999</v>
      </c>
      <c r="C17" s="37">
        <v>1.9424056020977598E-3</v>
      </c>
      <c r="E17">
        <v>310.79998799999998</v>
      </c>
      <c r="F17" s="37">
        <v>1.2953549503781711E-2</v>
      </c>
      <c r="H17">
        <v>100.01475108786597</v>
      </c>
      <c r="I17" s="37">
        <v>6.6666666666627974E-6</v>
      </c>
      <c r="J17" s="7"/>
      <c r="R17" s="4"/>
    </row>
    <row r="18" spans="1:19" x14ac:dyDescent="0.35">
      <c r="A18" s="3">
        <v>44197</v>
      </c>
      <c r="B18">
        <v>128.21000699999999</v>
      </c>
      <c r="C18" s="37">
        <v>-8.1811014145956235E-2</v>
      </c>
      <c r="E18">
        <v>290.10000600000001</v>
      </c>
      <c r="F18" s="37">
        <v>-6.8923868073571495E-2</v>
      </c>
      <c r="H18">
        <v>100.01683475021837</v>
      </c>
      <c r="I18" s="37">
        <v>2.0833333333257483E-5</v>
      </c>
      <c r="J18" s="13" t="s">
        <v>33</v>
      </c>
      <c r="K18" s="14"/>
      <c r="M18" s="15"/>
      <c r="N18" s="16"/>
      <c r="O18" s="16"/>
      <c r="P18" s="16"/>
      <c r="R18" s="4"/>
    </row>
    <row r="19" spans="1:19" x14ac:dyDescent="0.35">
      <c r="A19" s="3">
        <v>44228</v>
      </c>
      <c r="B19">
        <v>123.529999</v>
      </c>
      <c r="C19" s="37">
        <v>-3.718556570901025E-2</v>
      </c>
      <c r="E19">
        <v>302.79998799999998</v>
      </c>
      <c r="F19" s="37">
        <v>4.2846770123292653E-2</v>
      </c>
      <c r="H19">
        <v>100.01725148789802</v>
      </c>
      <c r="I19" s="37">
        <v>4.1666666666271147E-6</v>
      </c>
      <c r="J19" s="17"/>
      <c r="M19" s="15"/>
      <c r="N19" s="16"/>
      <c r="O19" s="16"/>
      <c r="P19" s="16"/>
      <c r="R19" s="18">
        <v>2</v>
      </c>
    </row>
    <row r="20" spans="1:19" x14ac:dyDescent="0.35">
      <c r="A20" s="3">
        <v>44256</v>
      </c>
      <c r="B20">
        <v>135.429993</v>
      </c>
      <c r="C20" s="37">
        <v>9.1970816526537311E-2</v>
      </c>
      <c r="E20">
        <v>326.79998799999998</v>
      </c>
      <c r="F20" s="37">
        <v>7.6275844332966913E-2</v>
      </c>
      <c r="H20">
        <v>100.01750153133929</v>
      </c>
      <c r="I20" s="37">
        <v>2.4999999999585214E-6</v>
      </c>
      <c r="J20" s="17"/>
      <c r="K20" s="15" t="s">
        <v>0</v>
      </c>
      <c r="L20" s="15"/>
      <c r="M20" s="16" t="s">
        <v>9</v>
      </c>
      <c r="N20" s="16"/>
      <c r="O20" s="16"/>
      <c r="P20" s="16"/>
    </row>
    <row r="21" spans="1:19" x14ac:dyDescent="0.35">
      <c r="A21" s="3">
        <v>44287</v>
      </c>
      <c r="B21">
        <v>133.41999799999999</v>
      </c>
      <c r="C21" s="37">
        <v>-1.4952817688947304E-2</v>
      </c>
      <c r="E21">
        <v>341.64999399999999</v>
      </c>
      <c r="F21" s="37">
        <v>4.4438477398814027E-2</v>
      </c>
      <c r="H21">
        <v>100.01833501399156</v>
      </c>
      <c r="I21" s="37">
        <v>8.3333333332943499E-6</v>
      </c>
      <c r="J21" s="17"/>
      <c r="K21" s="16" t="s">
        <v>34</v>
      </c>
      <c r="L21" s="16" t="s">
        <v>10</v>
      </c>
      <c r="M21" s="16" t="s">
        <v>11</v>
      </c>
      <c r="N21" s="16" t="s">
        <v>12</v>
      </c>
      <c r="O21" s="16" t="s">
        <v>36</v>
      </c>
      <c r="P21" s="16" t="s">
        <v>14</v>
      </c>
      <c r="R21" s="19"/>
      <c r="S21" s="19"/>
    </row>
    <row r="22" spans="1:19" x14ac:dyDescent="0.35">
      <c r="A22" s="3">
        <v>44317</v>
      </c>
      <c r="B22">
        <v>134.85000600000001</v>
      </c>
      <c r="C22" s="37">
        <v>1.0661061788507266E-2</v>
      </c>
      <c r="E22">
        <v>368.29998799999998</v>
      </c>
      <c r="F22" s="37">
        <v>7.5110987203930155E-2</v>
      </c>
      <c r="H22">
        <v>100.02316935034609</v>
      </c>
      <c r="I22" s="37">
        <v>4.8333333333357423E-5</v>
      </c>
      <c r="J22" s="17"/>
      <c r="K22" s="36" t="s">
        <v>24</v>
      </c>
      <c r="L22" s="36" t="s">
        <v>15</v>
      </c>
      <c r="M22" s="36" t="s">
        <v>16</v>
      </c>
      <c r="N22" s="36" t="s">
        <v>35</v>
      </c>
      <c r="O22" s="36" t="s">
        <v>13</v>
      </c>
      <c r="P22" s="36" t="s">
        <v>17</v>
      </c>
      <c r="R22" s="19"/>
      <c r="S22" s="19"/>
    </row>
    <row r="23" spans="1:19" x14ac:dyDescent="0.35">
      <c r="A23" s="3">
        <v>44348</v>
      </c>
      <c r="B23">
        <v>134.929993</v>
      </c>
      <c r="C23" s="37">
        <v>5.9297948432252923E-4</v>
      </c>
      <c r="E23">
        <v>375.79998799999998</v>
      </c>
      <c r="F23" s="37">
        <v>2.015926417860079E-2</v>
      </c>
      <c r="H23">
        <v>100.02733706922923</v>
      </c>
      <c r="I23" s="37">
        <v>4.1666666666723369E-5</v>
      </c>
      <c r="J23" s="17"/>
      <c r="K23" s="20">
        <v>-1.5</v>
      </c>
      <c r="L23" s="21">
        <f xml:space="preserve"> portfolio_variance(($B$6:$B$53),($E$6:$E$53),K23, Y14)</f>
        <v>0.23218715616837909</v>
      </c>
      <c r="M23" s="21">
        <f xml:space="preserve"> SQRT(portfolio_variance(($B$6:$B$53),($E$6:$E$53),K23, Y14))</f>
        <v>0.48185802490814561</v>
      </c>
      <c r="N23" s="22">
        <f>portfolio_mean_return(($B$6:$B$53),($E$6:$E$53),K23, Y14)</f>
        <v>0.30921782698998468</v>
      </c>
      <c r="O23" s="11"/>
      <c r="P23" s="11">
        <f xml:space="preserve"> sharpe_ratio(($B$6:$B$53),($E$6:$E$53), K23,($H$6:$H$53), Y14)</f>
        <v>0.18287590306038601</v>
      </c>
      <c r="R23" s="19"/>
      <c r="S23" s="19"/>
    </row>
    <row r="24" spans="1:19" x14ac:dyDescent="0.35">
      <c r="A24" s="3">
        <v>44378</v>
      </c>
      <c r="B24">
        <v>142.229996</v>
      </c>
      <c r="C24" s="37">
        <v>5.2689363894731653E-2</v>
      </c>
      <c r="E24">
        <v>385.89999399999999</v>
      </c>
      <c r="F24" s="37">
        <v>2.652119794801773E-2</v>
      </c>
      <c r="H24">
        <v>100.02775385066865</v>
      </c>
      <c r="I24" s="37">
        <v>4.1666666666271147E-6</v>
      </c>
      <c r="J24" s="17"/>
      <c r="K24" s="20">
        <v>-1.4</v>
      </c>
      <c r="L24" s="21">
        <f xml:space="preserve"> portfolio_variance(($B$6:$B$53),($E$6:$E$53),K24, Y14)</f>
        <v>0.21330666899313377</v>
      </c>
      <c r="M24" s="21">
        <f xml:space="preserve"> SQRT(portfolio_variance(($B$6:$B$53),($E$6:$E$53),K24, Y14))</f>
        <v>0.46185134945470691</v>
      </c>
      <c r="N24" s="22">
        <f>portfolio_mean_return(($B$6:$B$53),($E$6:$E$53),K24, Y14)</f>
        <v>0.29850388071658818</v>
      </c>
      <c r="O24" s="11"/>
      <c r="P24" s="11">
        <f xml:space="preserve"> sharpe_ratio(($B$6:$B$53),($E$6:$E$53), K24,($H$6:$H$53), Y14)</f>
        <v>0.18410116516893557</v>
      </c>
    </row>
    <row r="25" spans="1:19" x14ac:dyDescent="0.35">
      <c r="A25" s="3">
        <v>44409</v>
      </c>
      <c r="B25">
        <v>142.38999899999999</v>
      </c>
      <c r="C25" s="37">
        <v>1.1243273112638661E-3</v>
      </c>
      <c r="E25">
        <v>396.29998799999998</v>
      </c>
      <c r="F25" s="37">
        <v>2.6593216920794579E-2</v>
      </c>
      <c r="H25">
        <v>100.03342225065666</v>
      </c>
      <c r="I25" s="37">
        <v>5.6666666666597139E-5</v>
      </c>
      <c r="J25" s="17"/>
      <c r="K25" s="20">
        <v>-1.3</v>
      </c>
      <c r="L25" s="21">
        <f xml:space="preserve"> portfolio_variance(($B$6:$B$53),($E$6:$E$53),K25, Y14)</f>
        <v>0.19533847252065856</v>
      </c>
      <c r="M25" s="21">
        <f xml:space="preserve"> SQRT(portfolio_variance(($B$6:$B$53),($E$6:$E$53),K25, Y14))</f>
        <v>0.44197112181754428</v>
      </c>
      <c r="N25" s="22">
        <f>portfolio_mean_return(($B$6:$B$53),($E$6:$E$53),K25, Y14)</f>
        <v>0.28778993444319162</v>
      </c>
      <c r="O25" s="11"/>
      <c r="P25" s="11">
        <f xml:space="preserve"> sharpe_ratio(($B$6:$B$53),($E$6:$E$53), K25,($H$6:$H$53), Y14)</f>
        <v>0.18538433314375424</v>
      </c>
    </row>
    <row r="26" spans="1:19" x14ac:dyDescent="0.35">
      <c r="A26" s="3">
        <v>44440</v>
      </c>
      <c r="B26">
        <v>139.800003</v>
      </c>
      <c r="C26" s="37">
        <v>-1.8356913511000838E-2</v>
      </c>
      <c r="E26">
        <v>356.85000600000001</v>
      </c>
      <c r="F26" s="37">
        <v>-0.10485592768543447</v>
      </c>
      <c r="H26">
        <v>100.04759465599717</v>
      </c>
      <c r="I26" s="37">
        <v>1.416666666666132E-4</v>
      </c>
      <c r="J26" s="17"/>
      <c r="K26" s="20">
        <v>-1.2</v>
      </c>
      <c r="L26" s="21">
        <f xml:space="preserve"> portfolio_variance(($B$6:$B$53),($E$6:$E$53),K26, Y14)</f>
        <v>0.17828256675095383</v>
      </c>
      <c r="M26" s="21">
        <f xml:space="preserve"> SQRT(portfolio_variance(($B$6:$B$53),($E$6:$E$53),K26, Y14))</f>
        <v>0.42223520311664425</v>
      </c>
      <c r="N26" s="22">
        <f>portfolio_mean_return(($B$6:$B$53),($E$6:$E$53),K26, Y14)</f>
        <v>0.27707598816979517</v>
      </c>
      <c r="O26" s="11"/>
      <c r="P26" s="11">
        <f xml:space="preserve"> sharpe_ratio(($B$6:$B$53),($E$6:$E$53), K26,($H$6:$H$53), Y14)</f>
        <v>0.18672453462542715</v>
      </c>
    </row>
    <row r="27" spans="1:19" x14ac:dyDescent="0.35">
      <c r="A27" s="3">
        <v>44470</v>
      </c>
      <c r="B27">
        <v>142.990005</v>
      </c>
      <c r="C27" s="37">
        <v>2.2561881453298349E-2</v>
      </c>
      <c r="E27">
        <v>394.95001200000002</v>
      </c>
      <c r="F27" s="37">
        <v>0.10144366276315694</v>
      </c>
      <c r="H27">
        <v>100.05993462028691</v>
      </c>
      <c r="I27" s="37">
        <v>1.2333333333339465E-4</v>
      </c>
      <c r="J27" s="17"/>
      <c r="K27" s="20">
        <v>-1.1000000000000001</v>
      </c>
      <c r="L27" s="21">
        <f xml:space="preserve"> portfolio_variance(($B$6:$B$53),($E$6:$E$53),K27, Y14)</f>
        <v>0.16213895168401918</v>
      </c>
      <c r="M27" s="21">
        <f xml:space="preserve"> SQRT(portfolio_variance(($B$6:$B$53),($E$6:$E$53),K27, Y14))</f>
        <v>0.40266481306915702</v>
      </c>
      <c r="N27" s="22">
        <f>portfolio_mean_return(($B$6:$B$53),($E$6:$E$53),K27, Y14)</f>
        <v>0.26636204189639862</v>
      </c>
      <c r="O27" s="11"/>
      <c r="P27" s="11">
        <f xml:space="preserve"> sharpe_ratio(($B$6:$B$53),($E$6:$E$53), K27,($H$6:$H$53), Y14)</f>
        <v>0.18811880120477284</v>
      </c>
    </row>
    <row r="28" spans="1:19" x14ac:dyDescent="0.35">
      <c r="A28" s="3">
        <v>44501</v>
      </c>
      <c r="B28">
        <v>144.58000200000001</v>
      </c>
      <c r="C28" s="37">
        <v>1.1058268693087526E-2</v>
      </c>
      <c r="E28">
        <v>397.5</v>
      </c>
      <c r="F28" s="37">
        <v>6.4357291003659658E-3</v>
      </c>
      <c r="H28">
        <v>100.08495273107553</v>
      </c>
      <c r="I28" s="37">
        <v>2.5000000000003633E-4</v>
      </c>
      <c r="J28" s="17"/>
      <c r="K28" s="20">
        <v>-1</v>
      </c>
      <c r="L28" s="21">
        <f xml:space="preserve"> portfolio_variance(($B$6:$B$53),($E$6:$E$53),K28, Y14)</f>
        <v>0.14690762731985491</v>
      </c>
      <c r="M28" s="21">
        <f xml:space="preserve"> SQRT(portfolio_variance(($B$6:$B$53),($E$6:$E$53),K28, Y14))</f>
        <v>0.38328530798852034</v>
      </c>
      <c r="N28" s="22">
        <f>portfolio_mean_return(($B$6:$B$53),($E$6:$E$53),K28, Y14)</f>
        <v>0.25564809562300211</v>
      </c>
      <c r="O28" s="11"/>
      <c r="P28" s="11">
        <f xml:space="preserve"> sharpe_ratio(($B$6:$B$53),($E$6:$E$53), K28,($H$6:$H$53), Y14)</f>
        <v>0.18956106723917404</v>
      </c>
    </row>
    <row r="29" spans="1:19" x14ac:dyDescent="0.35">
      <c r="A29" s="3">
        <v>44531</v>
      </c>
      <c r="B29">
        <v>163.58000200000001</v>
      </c>
      <c r="C29" s="37">
        <v>0.1234691781279386</v>
      </c>
      <c r="E29">
        <v>416.95001200000002</v>
      </c>
      <c r="F29" s="37">
        <v>4.7771405219036757E-2</v>
      </c>
      <c r="H29">
        <v>100.11064449924572</v>
      </c>
      <c r="I29" s="37">
        <v>2.5666666666675897E-4</v>
      </c>
      <c r="J29" s="17"/>
      <c r="K29" s="20">
        <v>-0.89999999999999902</v>
      </c>
      <c r="L29" s="21">
        <f xml:space="preserve"> portfolio_variance(($B$6:$B$53),($E$6:$E$53),K29, Y14)</f>
        <v>0.13258859365846071</v>
      </c>
      <c r="M29" s="21">
        <f xml:space="preserve"> SQRT(portfolio_variance(($B$6:$B$53),($E$6:$E$53),K29, Y14))</f>
        <v>0.36412716687781027</v>
      </c>
      <c r="N29" s="22">
        <f>portfolio_mean_return(($B$6:$B$53),($E$6:$E$53),K29, Y14)</f>
        <v>0.24493414934960553</v>
      </c>
      <c r="O29" s="11"/>
      <c r="P29" s="11">
        <f xml:space="preserve"> sharpe_ratio(($B$6:$B$53),($E$6:$E$53), K29,($H$6:$H$53), Y14)</f>
        <v>0.19104073654638437</v>
      </c>
    </row>
    <row r="30" spans="1:19" x14ac:dyDescent="0.35">
      <c r="A30" s="3">
        <v>44562</v>
      </c>
      <c r="B30">
        <v>160.449997</v>
      </c>
      <c r="C30" s="37">
        <v>-1.9319830674809389E-2</v>
      </c>
      <c r="E30">
        <v>376.85000600000001</v>
      </c>
      <c r="F30" s="37">
        <v>-0.10111909310249037</v>
      </c>
      <c r="H30">
        <v>100.1267469227712</v>
      </c>
      <c r="I30" s="37">
        <v>1.6083333333343164E-4</v>
      </c>
      <c r="J30" s="17"/>
      <c r="K30" s="20">
        <v>-0.79999999999999905</v>
      </c>
      <c r="L30" s="21">
        <f xml:space="preserve"> portfolio_variance(($B$6:$B$53),($E$6:$E$53),K30, Y14)</f>
        <v>0.1191818506998369</v>
      </c>
      <c r="M30" s="21">
        <f xml:space="preserve"> SQRT(portfolio_variance(($B$6:$B$53),($E$6:$E$53),K30, Y14))</f>
        <v>0.34522724501382696</v>
      </c>
      <c r="N30" s="22">
        <f>portfolio_mean_return(($B$6:$B$53),($E$6:$E$53),K30, Y14)</f>
        <v>0.23422020307620905</v>
      </c>
      <c r="O30" s="32"/>
      <c r="P30" s="11">
        <f xml:space="preserve"> sharpe_ratio(($B$6:$B$53),($E$6:$E$53), K30,($H$6:$H$53), Y14)</f>
        <v>0.19254063297266272</v>
      </c>
    </row>
    <row r="31" spans="1:19" x14ac:dyDescent="0.35">
      <c r="A31" s="3">
        <v>44593</v>
      </c>
      <c r="B31">
        <v>155.88999899999999</v>
      </c>
      <c r="C31" s="37">
        <v>-2.8831724948642289E-2</v>
      </c>
      <c r="E31">
        <v>355</v>
      </c>
      <c r="F31" s="37">
        <v>-5.972945673551714E-2</v>
      </c>
      <c r="H31">
        <v>100.14285193631142</v>
      </c>
      <c r="I31" s="37">
        <v>1.6083333333343164E-4</v>
      </c>
      <c r="J31" s="17"/>
      <c r="K31" s="20">
        <v>-0.69999999999999896</v>
      </c>
      <c r="L31" s="21">
        <f xml:space="preserve"> portfolio_variance(($B$6:$B$53),($E$6:$E$53),K31, Y14)</f>
        <v>0.10668739844398344</v>
      </c>
      <c r="M31" s="21">
        <f xml:space="preserve"> SQRT(portfolio_variance(($B$6:$B$53),($E$6:$E$53),K31, Y14))</f>
        <v>0.32663036975147219</v>
      </c>
      <c r="N31" s="22">
        <f>portfolio_mean_return(($B$6:$B$53),($E$6:$E$53),K31, Y14)</f>
        <v>0.22350625680281247</v>
      </c>
      <c r="O31" s="11"/>
      <c r="P31" s="11">
        <f xml:space="preserve"> sharpe_ratio(($B$6:$B$53),($E$6:$E$53), K31,($H$6:$H$53), Y14)</f>
        <v>0.19403407723562041</v>
      </c>
    </row>
    <row r="32" spans="1:19" x14ac:dyDescent="0.35">
      <c r="A32" s="3">
        <v>44621</v>
      </c>
      <c r="B32">
        <v>152.800003</v>
      </c>
      <c r="C32" s="37">
        <v>-2.0020727543882021E-2</v>
      </c>
      <c r="E32">
        <v>363.85000600000001</v>
      </c>
      <c r="F32" s="37">
        <v>2.4623921807991413E-2</v>
      </c>
      <c r="H32">
        <v>100.16647174395258</v>
      </c>
      <c r="I32" s="37">
        <v>2.3583333333339996E-4</v>
      </c>
      <c r="J32" s="17"/>
      <c r="K32" s="20">
        <v>-0.59999999999999898</v>
      </c>
      <c r="L32" s="21">
        <f xml:space="preserve"> portfolio_variance(($B$6:$B$53),($E$6:$E$53),K32, Y14)</f>
        <v>9.5105236890900238E-2</v>
      </c>
      <c r="M32" s="21">
        <f xml:space="preserve"> SQRT(portfolio_variance(($B$6:$B$53),($E$6:$E$53),K32, Y14))</f>
        <v>0.30839136967642305</v>
      </c>
      <c r="N32" s="22">
        <f>portfolio_mean_return(($B$6:$B$53),($E$6:$E$53),K32, Y14)</f>
        <v>0.21279231052941594</v>
      </c>
      <c r="O32" s="11"/>
      <c r="P32" s="11">
        <f xml:space="preserve"> sharpe_ratio(($B$6:$B$53),($E$6:$E$53), K32,($H$6:$H$53), Y14)</f>
        <v>0.19548073790973827</v>
      </c>
    </row>
    <row r="33" spans="1:16" x14ac:dyDescent="0.35">
      <c r="A33" s="3">
        <v>44652</v>
      </c>
      <c r="B33">
        <v>160.550003</v>
      </c>
      <c r="C33" s="37">
        <v>4.9475542855362722E-2</v>
      </c>
      <c r="E33">
        <v>348.89999399999999</v>
      </c>
      <c r="F33" s="37">
        <v>-4.1956380287583632E-2</v>
      </c>
      <c r="H33">
        <v>100.18717495403769</v>
      </c>
      <c r="I33" s="37">
        <v>2.0666666666670997E-4</v>
      </c>
      <c r="J33" s="17"/>
      <c r="K33" s="20">
        <v>-0.5</v>
      </c>
      <c r="L33" s="21">
        <f xml:space="preserve"> portfolio_variance(($B$6:$B$53),($E$6:$E$53),K33, Y14)</f>
        <v>8.4435366040587406E-2</v>
      </c>
      <c r="M33" s="21">
        <f xml:space="preserve"> SQRT(portfolio_variance(($B$6:$B$53),($E$6:$E$53),K33, Y14))</f>
        <v>0.29057764201773578</v>
      </c>
      <c r="N33" s="22">
        <f>portfolio_mean_return(($B$6:$B$53),($E$6:$E$53),K33, Y14)</f>
        <v>0.20207836425601958</v>
      </c>
      <c r="O33" s="11"/>
      <c r="P33" s="11">
        <f xml:space="preserve"> sharpe_ratio(($B$6:$B$53),($E$6:$E$53), K33,($H$6:$H$53), Y14)</f>
        <v>0.19682079539807476</v>
      </c>
    </row>
    <row r="34" spans="1:16" x14ac:dyDescent="0.35">
      <c r="A34" s="3">
        <v>44682</v>
      </c>
      <c r="B34">
        <v>147.88000500000001</v>
      </c>
      <c r="C34" s="37">
        <v>-8.2204271341661528E-2</v>
      </c>
      <c r="E34">
        <v>328.54998799999998</v>
      </c>
      <c r="F34" s="37">
        <v>-6.0096334176068716E-2</v>
      </c>
      <c r="H34">
        <v>100.20721439290558</v>
      </c>
      <c r="I34" s="37">
        <v>2.0000000000005631E-4</v>
      </c>
      <c r="J34" s="17"/>
      <c r="K34" s="20">
        <v>-0.4</v>
      </c>
      <c r="L34" s="21">
        <f xml:space="preserve"> portfolio_variance(($B$6:$B$53),($E$6:$E$53),K34, Y14)</f>
        <v>7.4677785893044732E-2</v>
      </c>
      <c r="M34" s="21">
        <f xml:space="preserve"> SQRT(portfolio_variance(($B$6:$B$53),($E$6:$E$53),K34, Y14))</f>
        <v>0.27327236576910724</v>
      </c>
      <c r="N34" s="22">
        <f>portfolio_mean_return(($B$6:$B$53),($E$6:$E$53),K34, Y14)</f>
        <v>0.19136441798262305</v>
      </c>
      <c r="O34" s="11"/>
      <c r="P34" s="11">
        <f xml:space="preserve"> sharpe_ratio(($B$6:$B$53),($E$6:$E$53), K34,($H$6:$H$53), Y14)</f>
        <v>0.19796686207936065</v>
      </c>
    </row>
    <row r="35" spans="1:16" x14ac:dyDescent="0.35">
      <c r="A35" s="3">
        <v>44713</v>
      </c>
      <c r="B35">
        <v>143.78999300000001</v>
      </c>
      <c r="C35" s="37">
        <v>-2.8047314722086245E-2</v>
      </c>
      <c r="E35">
        <v>329.29998799999998</v>
      </c>
      <c r="F35" s="37">
        <v>2.2801561216275706E-3</v>
      </c>
      <c r="H35">
        <v>100.23393987998358</v>
      </c>
      <c r="I35" s="37">
        <v>2.66666666666571E-4</v>
      </c>
      <c r="J35" s="17"/>
      <c r="K35" s="20">
        <v>-0.3</v>
      </c>
      <c r="L35" s="21">
        <f xml:space="preserve"> portfolio_variance(($B$6:$B$53),($E$6:$E$53),K35, Y14)</f>
        <v>6.5832496448272326E-2</v>
      </c>
      <c r="M35" s="21">
        <f xml:space="preserve"> SQRT(portfolio_variance(($B$6:$B$53),($E$6:$E$53),K35, Y14))</f>
        <v>0.25657844112137002</v>
      </c>
      <c r="N35" s="22">
        <f>portfolio_mean_return(($B$6:$B$53),($E$6:$E$53),K35, Y14)</f>
        <v>0.1806504717092266</v>
      </c>
      <c r="O35" s="11"/>
      <c r="P35" s="11">
        <f xml:space="preserve"> sharpe_ratio(($B$6:$B$53),($E$6:$E$53), K35,($H$6:$H$53), Y14)</f>
        <v>0.1987930967187988</v>
      </c>
    </row>
    <row r="36" spans="1:16" x14ac:dyDescent="0.35">
      <c r="A36" s="3">
        <v>44743</v>
      </c>
      <c r="B36">
        <v>138.91000399999999</v>
      </c>
      <c r="C36" s="37">
        <v>-3.4527582952622191E-2</v>
      </c>
      <c r="E36">
        <v>368.10000600000001</v>
      </c>
      <c r="F36" s="37">
        <v>0.1113855037435113</v>
      </c>
      <c r="H36">
        <v>100.25565958650749</v>
      </c>
      <c r="I36" s="37">
        <v>2.1666666666670021E-4</v>
      </c>
      <c r="J36" s="17"/>
      <c r="K36" s="20">
        <v>-0.2</v>
      </c>
      <c r="L36" s="21">
        <f xml:space="preserve"> portfolio_variance(($B$6:$B$53),($E$6:$E$53),K36, Y14)</f>
        <v>5.789949770627012E-2</v>
      </c>
      <c r="M36" s="21">
        <f xml:space="preserve"> SQRT(portfolio_variance(($B$6:$B$53),($E$6:$E$53),K36, Y14))</f>
        <v>0.24062314457730394</v>
      </c>
      <c r="N36" s="22">
        <f>portfolio_mean_return(($B$6:$B$53),($E$6:$E$53),K36, Y14)</f>
        <v>0.1699365254358301</v>
      </c>
      <c r="O36" s="11"/>
      <c r="P36" s="11">
        <f xml:space="preserve"> sharpe_ratio(($B$6:$B$53),($E$6:$E$53), K36,($H$6:$H$53), Y14)</f>
        <v>0.19912121530724966</v>
      </c>
    </row>
    <row r="37" spans="1:16" x14ac:dyDescent="0.35">
      <c r="A37" s="3">
        <v>44774</v>
      </c>
      <c r="B37">
        <v>137.94000199999999</v>
      </c>
      <c r="C37" s="37">
        <v>-7.0074477027178145E-3</v>
      </c>
      <c r="E37">
        <v>343.25</v>
      </c>
      <c r="F37" s="37">
        <v>-6.9895612036813451E-2</v>
      </c>
      <c r="H37">
        <v>100.28030879916409</v>
      </c>
      <c r="I37" s="37">
        <v>2.4583333333336453E-4</v>
      </c>
      <c r="J37" s="17"/>
      <c r="K37" s="20">
        <v>-0.1</v>
      </c>
      <c r="L37" s="21">
        <f xml:space="preserve"> portfolio_variance(($B$6:$B$53),($E$6:$E$53),K37, Y14)</f>
        <v>5.0878789667038266E-2</v>
      </c>
      <c r="M37" s="21">
        <f xml:space="preserve"> SQRT(portfolio_variance(($B$6:$B$53),($E$6:$E$53),K37, Y14))</f>
        <v>0.22556327198158452</v>
      </c>
      <c r="N37" s="22">
        <f>portfolio_mean_return(($B$6:$B$53),($E$6:$E$53),K37, Y14)</f>
        <v>0.1592225791624336</v>
      </c>
      <c r="O37" s="11"/>
      <c r="P37" s="11">
        <f xml:space="preserve"> sharpe_ratio(($B$6:$B$53),($E$6:$E$53), K37,($H$6:$H$53), Y14)</f>
        <v>0.19870399424082527</v>
      </c>
    </row>
    <row r="38" spans="1:16" x14ac:dyDescent="0.35">
      <c r="A38" s="3">
        <v>44805</v>
      </c>
      <c r="B38">
        <v>126.25</v>
      </c>
      <c r="C38" s="37">
        <v>-8.855475434673335E-2</v>
      </c>
      <c r="E38">
        <v>330.25</v>
      </c>
      <c r="F38" s="37">
        <v>-3.8609101245645754E-2</v>
      </c>
      <c r="H38">
        <v>100.31942574690476</v>
      </c>
      <c r="I38" s="37">
        <v>3.8999999999992583E-4</v>
      </c>
      <c r="J38" s="17"/>
      <c r="K38" s="20">
        <v>0</v>
      </c>
      <c r="L38" s="21">
        <f xml:space="preserve"> portfolio_variance(($B$6:$B$53),($E$6:$E$53),K38, Y14)</f>
        <v>4.4770372330576673E-2</v>
      </c>
      <c r="M38" s="21">
        <f xml:space="preserve"> SQRT(portfolio_variance(($B$6:$B$53),($E$6:$E$53),K38, Y14))</f>
        <v>0.21159010451950883</v>
      </c>
      <c r="N38" s="22">
        <f>portfolio_mean_return(($B$6:$B$53),($E$6:$E$53),K38, Y14)</f>
        <v>0.14850863288903704</v>
      </c>
      <c r="O38" s="11"/>
      <c r="P38" s="11">
        <f xml:space="preserve"> sharpe_ratio(($B$6:$B$53),($E$6:$E$53), K38,($H$6:$H$53), Y14)</f>
        <v>0.19720900138034958</v>
      </c>
    </row>
    <row r="39" spans="1:16" x14ac:dyDescent="0.35">
      <c r="A39" s="3">
        <v>44835</v>
      </c>
      <c r="B39">
        <v>134.66999799999999</v>
      </c>
      <c r="C39" s="37">
        <v>6.4563258455363537E-2</v>
      </c>
      <c r="E39">
        <v>318.10000600000001</v>
      </c>
      <c r="F39" s="37">
        <v>-3.7484125785343311E-2</v>
      </c>
      <c r="H39">
        <v>100.35956154382777</v>
      </c>
      <c r="I39" s="37">
        <v>4.0000000000009136E-4</v>
      </c>
      <c r="J39" s="17"/>
      <c r="K39" s="20">
        <v>0.1</v>
      </c>
      <c r="L39" s="21">
        <f xml:space="preserve"> portfolio_variance(($B$6:$B$53),($E$6:$E$53),K39, Y14)</f>
        <v>3.9574245696885328E-2</v>
      </c>
      <c r="M39" s="21">
        <f xml:space="preserve"> SQRT(portfolio_variance(($B$6:$B$53),($E$6:$E$53),K39, Y14))</f>
        <v>0.19893276677532368</v>
      </c>
      <c r="N39" s="22">
        <f>portfolio_mean_return(($B$6:$B$53),($E$6:$E$53),K39, Y14)</f>
        <v>0.13779468661564054</v>
      </c>
      <c r="O39" s="11"/>
      <c r="P39" s="11">
        <f xml:space="preserve"> sharpe_ratio(($B$6:$B$53),($E$6:$E$53), K39,($H$6:$H$53), Y14)</f>
        <v>0.1942094505495722</v>
      </c>
    </row>
    <row r="40" spans="1:16" x14ac:dyDescent="0.35">
      <c r="A40" s="3">
        <v>44866</v>
      </c>
      <c r="B40">
        <v>149.16000399999999</v>
      </c>
      <c r="C40" s="37">
        <v>0.10219225551662783</v>
      </c>
      <c r="E40">
        <v>354.79998799999998</v>
      </c>
      <c r="F40" s="37">
        <v>0.109188398996461</v>
      </c>
      <c r="H40">
        <v>100.40138674078196</v>
      </c>
      <c r="I40" s="37">
        <v>4.1666666666669168E-4</v>
      </c>
      <c r="J40" s="17"/>
      <c r="K40" s="20">
        <v>0.2</v>
      </c>
      <c r="L40" s="21">
        <f xml:space="preserve"> portfolio_variance(($B$6:$B$53),($E$6:$E$53),K40, Y14)</f>
        <v>3.5290409765964259E-2</v>
      </c>
      <c r="M40" s="21">
        <f xml:space="preserve"> SQRT(portfolio_variance(($B$6:$B$53),($E$6:$E$53),K40, Y14))</f>
        <v>0.18785741871420533</v>
      </c>
      <c r="N40" s="22">
        <f>portfolio_mean_return(($B$6:$B$53),($E$6:$E$53),K40, Y14)</f>
        <v>0.12708074034224401</v>
      </c>
      <c r="O40" s="11"/>
      <c r="P40" s="11">
        <f xml:space="preserve"> sharpe_ratio(($B$6:$B$53),($E$6:$E$53), K40,($H$6:$H$53), Y14)</f>
        <v>0.18919547437888792</v>
      </c>
    </row>
    <row r="41" spans="1:16" x14ac:dyDescent="0.35">
      <c r="A41" s="3">
        <v>44896</v>
      </c>
      <c r="B41">
        <v>151.55999800000001</v>
      </c>
      <c r="C41" s="37">
        <v>1.5961990826845539E-2</v>
      </c>
      <c r="E41">
        <v>333.60000600000001</v>
      </c>
      <c r="F41" s="37">
        <v>-6.161152814334931E-2</v>
      </c>
      <c r="H41">
        <v>100.44515454887853</v>
      </c>
      <c r="I41" s="37">
        <v>4.3583333333342835E-4</v>
      </c>
      <c r="J41" s="17"/>
      <c r="K41" s="20">
        <v>0.3</v>
      </c>
      <c r="L41" s="21">
        <f xml:space="preserve"> portfolio_variance(($B$6:$B$53),($E$6:$E$53),K41, Y14)</f>
        <v>3.1918864537813452E-2</v>
      </c>
      <c r="M41" s="21">
        <f xml:space="preserve"> SQRT(portfolio_variance(($B$6:$B$53),($E$6:$E$53),K41, Y14))</f>
        <v>0.17865851375686928</v>
      </c>
      <c r="N41" s="22">
        <f>portfolio_mean_return(($B$6:$B$53),($E$6:$E$53),K41, Y14)</f>
        <v>0.11636679406884747</v>
      </c>
      <c r="O41" s="11"/>
      <c r="P41" s="11">
        <f xml:space="preserve"> sharpe_ratio(($B$6:$B$53),($E$6:$E$53), K41,($H$6:$H$53), Y14)</f>
        <v>0.18162539743766049</v>
      </c>
    </row>
    <row r="42" spans="1:16" x14ac:dyDescent="0.35">
      <c r="A42" s="3">
        <v>44927</v>
      </c>
      <c r="B42">
        <v>142.38000500000001</v>
      </c>
      <c r="C42" s="37">
        <v>-6.2481998161287619E-2</v>
      </c>
      <c r="E42">
        <v>378.04998799999998</v>
      </c>
      <c r="F42" s="37">
        <v>0.12508374179224213</v>
      </c>
      <c r="H42">
        <v>100.50694731825504</v>
      </c>
      <c r="I42" s="37">
        <v>6.1499999999998546E-4</v>
      </c>
      <c r="J42" s="17"/>
      <c r="K42" s="20">
        <v>0.4</v>
      </c>
      <c r="L42" s="21">
        <f xml:space="preserve"> portfolio_variance(($B$6:$B$53),($E$6:$E$53),K42, Y14)</f>
        <v>2.9459610012432934E-2</v>
      </c>
      <c r="M42" s="21">
        <f xml:space="preserve"> SQRT(portfolio_variance(($B$6:$B$53),($E$6:$E$53),K42, Y14))</f>
        <v>0.17163802029979527</v>
      </c>
      <c r="N42" s="22">
        <f>portfolio_mean_return(($B$6:$B$53),($E$6:$E$53),K42, Y14)</f>
        <v>0.105652847795451</v>
      </c>
      <c r="O42" s="11"/>
      <c r="P42" s="11">
        <f xml:space="preserve"> sharpe_ratio(($B$6:$B$53),($E$6:$E$53), K42,($H$6:$H$53), Y14)</f>
        <v>0.17103479539628444</v>
      </c>
    </row>
    <row r="43" spans="1:16" x14ac:dyDescent="0.35">
      <c r="A43" s="3">
        <v>44958</v>
      </c>
      <c r="B43">
        <v>137.55999800000001</v>
      </c>
      <c r="C43" s="37">
        <v>-3.4439403768063245E-2</v>
      </c>
      <c r="E43">
        <v>375.10000600000001</v>
      </c>
      <c r="F43" s="37">
        <v>-7.8337571788692148E-3</v>
      </c>
      <c r="H43">
        <v>100.57229807070556</v>
      </c>
      <c r="I43" s="37">
        <v>6.4999999999997482E-4</v>
      </c>
      <c r="J43" s="17"/>
      <c r="K43" s="20">
        <v>0.5</v>
      </c>
      <c r="L43" s="21">
        <f xml:space="preserve"> portfolio_variance(($B$6:$B$53),($E$6:$E$53),K43, Y14)</f>
        <v>2.7912646189822681E-2</v>
      </c>
      <c r="M43" s="21">
        <f xml:space="preserve"> SQRT(portfolio_variance(($B$6:$B$53),($E$6:$E$53),K43, Y14))</f>
        <v>0.16707078197525346</v>
      </c>
      <c r="N43" s="22">
        <f>portfolio_mean_return(($B$6:$B$53),($E$6:$E$53),K43, Y14)</f>
        <v>9.4938901522054531E-2</v>
      </c>
      <c r="O43" s="11"/>
      <c r="P43" s="11">
        <f xml:space="preserve"> sharpe_ratio(($B$6:$B$53),($E$6:$E$53), K43,($H$6:$H$53), Y14)</f>
        <v>0.15719818565028676</v>
      </c>
    </row>
    <row r="44" spans="1:16" x14ac:dyDescent="0.35">
      <c r="A44" s="3">
        <v>44986</v>
      </c>
      <c r="B44">
        <v>148.69000199999999</v>
      </c>
      <c r="C44" s="37">
        <v>7.780344413498029E-2</v>
      </c>
      <c r="E44">
        <v>411.25</v>
      </c>
      <c r="F44" s="37">
        <v>9.200862899600569E-2</v>
      </c>
      <c r="H44">
        <v>100.65194933114211</v>
      </c>
      <c r="I44" s="37">
        <v>7.9166666666670492E-4</v>
      </c>
      <c r="J44" s="17"/>
      <c r="K44" s="20">
        <v>0.6</v>
      </c>
      <c r="L44" s="21">
        <f xml:space="preserve"> portfolio_variance(($B$6:$B$53),($E$6:$E$53),K44, Y14)</f>
        <v>2.7277973069982683E-2</v>
      </c>
      <c r="M44" s="21">
        <f xml:space="preserve"> SQRT(portfolio_variance(($B$6:$B$53),($E$6:$E$53),K44, Y14))</f>
        <v>0.16516044644521485</v>
      </c>
      <c r="N44" s="22">
        <f>portfolio_mean_return(($B$6:$B$53),($E$6:$E$53),K44, Y14)</f>
        <v>8.4224955248658015E-2</v>
      </c>
      <c r="O44" s="11"/>
      <c r="P44" s="11">
        <f xml:space="preserve"> sharpe_ratio(($B$6:$B$53),($E$6:$E$53), K44,($H$6:$H$53), Y14)</f>
        <v>0.14029009013883936</v>
      </c>
    </row>
    <row r="45" spans="1:16" x14ac:dyDescent="0.35">
      <c r="A45" s="3">
        <v>45017</v>
      </c>
      <c r="B45">
        <v>156.38000500000001</v>
      </c>
      <c r="C45" s="37">
        <v>5.0425359509830132E-2</v>
      </c>
      <c r="E45">
        <v>432.75</v>
      </c>
      <c r="F45" s="37">
        <v>5.0958891976737086E-2</v>
      </c>
      <c r="H45">
        <v>100.73527328974679</v>
      </c>
      <c r="I45" s="37">
        <v>8.2749999999998862E-4</v>
      </c>
      <c r="J45" s="17"/>
      <c r="K45" s="20">
        <v>0.7</v>
      </c>
      <c r="L45" s="21">
        <f xml:space="preserve"> portfolio_variance(($B$6:$B$53),($E$6:$E$53),K45, Y14)</f>
        <v>2.7555590652912965E-2</v>
      </c>
      <c r="M45" s="21">
        <f xml:space="preserve"> SQRT(portfolio_variance(($B$6:$B$53),($E$6:$E$53),K45, Y14))</f>
        <v>0.16599876702226726</v>
      </c>
      <c r="N45" s="22">
        <f>portfolio_mean_return(($B$6:$B$53),($E$6:$E$53),K45, Y14)</f>
        <v>7.3511008975261458E-2</v>
      </c>
      <c r="O45" s="11"/>
      <c r="P45" s="11">
        <f xml:space="preserve"> sharpe_ratio(($B$6:$B$53),($E$6:$E$53), K45,($H$6:$H$53), Y14)</f>
        <v>0.12094983834405576</v>
      </c>
    </row>
    <row r="46" spans="1:16" x14ac:dyDescent="0.35">
      <c r="A46" s="3">
        <v>45047</v>
      </c>
      <c r="B46">
        <v>142.5</v>
      </c>
      <c r="C46" s="37">
        <v>-9.2946974961060455E-2</v>
      </c>
      <c r="E46">
        <v>399</v>
      </c>
      <c r="F46" s="37">
        <v>-8.1198777166455183E-2</v>
      </c>
      <c r="H46">
        <v>100.82370728680019</v>
      </c>
      <c r="I46" s="37">
        <v>8.7750000000002095E-4</v>
      </c>
      <c r="J46" s="17"/>
      <c r="K46" s="20">
        <v>0.8</v>
      </c>
      <c r="L46" s="21">
        <f xml:space="preserve"> portfolio_variance(($B$6:$B$53),($E$6:$E$53),K46, Y14)</f>
        <v>2.8745498938613525E-2</v>
      </c>
      <c r="M46" s="21">
        <f xml:space="preserve"> SQRT(portfolio_variance(($B$6:$B$53),($E$6:$E$53),K46, Y14))</f>
        <v>0.16954497615268205</v>
      </c>
      <c r="N46" s="22">
        <f>portfolio_mean_return(($B$6:$B$53),($E$6:$E$53),K46, Y14)</f>
        <v>6.2797062701864942E-2</v>
      </c>
      <c r="O46" s="11"/>
      <c r="P46" s="11">
        <f xml:space="preserve"> sharpe_ratio(($B$6:$B$53),($E$6:$E$53), K46,($H$6:$H$53), Y14)</f>
        <v>0.10017798544998519</v>
      </c>
    </row>
    <row r="47" spans="1:16" x14ac:dyDescent="0.35">
      <c r="A47" s="3">
        <v>45078</v>
      </c>
      <c r="B47">
        <v>151.740005</v>
      </c>
      <c r="C47" s="37">
        <v>6.28265631523236E-2</v>
      </c>
      <c r="E47">
        <v>427.10000600000001</v>
      </c>
      <c r="F47" s="37">
        <v>6.8056775005789494E-2</v>
      </c>
      <c r="H47">
        <v>100.90591210215096</v>
      </c>
      <c r="I47" s="37">
        <v>8.1499999999993199E-4</v>
      </c>
      <c r="J47" s="17"/>
      <c r="K47" s="20">
        <v>0.9</v>
      </c>
      <c r="L47" s="21">
        <f xml:space="preserve"> portfolio_variance(($B$6:$B$53),($E$6:$E$53),K47, Y14)</f>
        <v>3.0847697927084337E-2</v>
      </c>
      <c r="M47" s="21">
        <f xml:space="preserve"> SQRT(portfolio_variance(($B$6:$B$53),($E$6:$E$53),K47, Y14))</f>
        <v>0.17563512725842839</v>
      </c>
      <c r="N47" s="22">
        <f>portfolio_mean_return(($B$6:$B$53),($E$6:$E$53),K47, Y14)</f>
        <v>5.2083116428468433E-2</v>
      </c>
      <c r="O47" s="11"/>
      <c r="P47" s="11">
        <f xml:space="preserve"> sharpe_ratio(($B$6:$B$53),($E$6:$E$53), K47,($H$6:$H$53), Y14)</f>
        <v>7.9094794352765174E-2</v>
      </c>
    </row>
    <row r="48" spans="1:16" x14ac:dyDescent="0.35">
      <c r="A48" s="3">
        <v>45108</v>
      </c>
      <c r="B48">
        <v>156.300003</v>
      </c>
      <c r="C48" s="37">
        <v>2.9608693760259899E-2</v>
      </c>
      <c r="E48">
        <v>423.20001200000002</v>
      </c>
      <c r="F48" s="37">
        <v>-9.173282996176221E-3</v>
      </c>
      <c r="H48">
        <v>100.99239187039709</v>
      </c>
      <c r="I48" s="37">
        <v>8.5666666666672873E-4</v>
      </c>
      <c r="J48" s="17"/>
      <c r="K48" s="20">
        <v>1</v>
      </c>
      <c r="L48" s="21">
        <f xml:space="preserve"> portfolio_variance(($B$6:$B$53),($E$6:$E$53),K48, Y14)</f>
        <v>3.3862187618325434E-2</v>
      </c>
      <c r="M48" s="21">
        <f xml:space="preserve"> SQRT(portfolio_variance(($B$6:$B$53),($E$6:$E$53),K48, Y14))</f>
        <v>0.18401681341205056</v>
      </c>
      <c r="N48" s="22">
        <f>portfolio_mean_return(($B$6:$B$53),($E$6:$E$53),K48, Y14)</f>
        <v>4.1369170155071938E-2</v>
      </c>
      <c r="O48" s="11"/>
      <c r="P48" s="11">
        <f xml:space="preserve"> sharpe_ratio(($B$6:$B$53),($E$6:$E$53), K48,($H$6:$H$53), Y14)</f>
        <v>5.8684715754379127E-2</v>
      </c>
    </row>
    <row r="49" spans="1:16" x14ac:dyDescent="0.35">
      <c r="A49" s="3">
        <v>45139</v>
      </c>
      <c r="B49">
        <v>154.33999600000001</v>
      </c>
      <c r="C49" s="37">
        <v>-1.2619321508639005E-2</v>
      </c>
      <c r="E49">
        <v>405.79998799999998</v>
      </c>
      <c r="F49" s="37">
        <v>-4.198451107898029E-2</v>
      </c>
      <c r="H49">
        <v>101.08694815468291</v>
      </c>
      <c r="I49" s="37">
        <v>9.3583333333332487E-4</v>
      </c>
      <c r="J49" s="17"/>
      <c r="K49" s="20">
        <v>1.1000000000000001</v>
      </c>
      <c r="L49" s="21">
        <f xml:space="preserve"> portfolio_variance(($B$6:$B$53),($E$6:$E$53),K49, Y14)</f>
        <v>3.778896801233679E-2</v>
      </c>
      <c r="M49" s="21">
        <f xml:space="preserve"> SQRT(portfolio_variance(($B$6:$B$53),($E$6:$E$53),K49, Y14))</f>
        <v>0.19439384767100215</v>
      </c>
      <c r="N49" s="22">
        <f>portfolio_mean_return(($B$6:$B$53),($E$6:$E$53),K49, Y14)</f>
        <v>3.0655223881675416E-2</v>
      </c>
      <c r="O49" s="11"/>
      <c r="P49" s="11">
        <f xml:space="preserve"> sharpe_ratio(($B$6:$B$53),($E$6:$E$53), K49,($H$6:$H$53), Y14)</f>
        <v>3.9641812736998468E-2</v>
      </c>
    </row>
    <row r="50" spans="1:16" x14ac:dyDescent="0.35">
      <c r="A50" s="3">
        <v>45170</v>
      </c>
      <c r="B50">
        <v>145.86000100000001</v>
      </c>
      <c r="C50" s="37">
        <v>-5.651067070067349E-2</v>
      </c>
      <c r="E50">
        <v>393.20001200000002</v>
      </c>
      <c r="F50" s="37">
        <v>-3.1541979028665512E-2</v>
      </c>
      <c r="H50">
        <v>101.19129000327817</v>
      </c>
      <c r="I50" s="37">
        <v>1.0316666666667336E-3</v>
      </c>
      <c r="J50" s="17"/>
      <c r="K50" s="20">
        <v>1.2</v>
      </c>
      <c r="L50" s="21">
        <f xml:space="preserve"> portfolio_variance(($B$6:$B$53),($E$6:$E$53),K50, Y14)</f>
        <v>4.2628039109118415E-2</v>
      </c>
      <c r="M50" s="21">
        <f xml:space="preserve"> SQRT(portfolio_variance(($B$6:$B$53),($E$6:$E$53),K50, Y14))</f>
        <v>0.20646558819599556</v>
      </c>
      <c r="N50" s="22">
        <f>portfolio_mean_return(($B$6:$B$53),($E$6:$E$53),K50, Y14)</f>
        <v>1.9941277608278924E-2</v>
      </c>
      <c r="O50" s="11"/>
      <c r="P50" s="11">
        <f xml:space="preserve"> sharpe_ratio(($B$6:$B$53),($E$6:$E$53), K50,($H$6:$H$53), Y14)</f>
        <v>2.2344036429474214E-2</v>
      </c>
    </row>
    <row r="51" spans="1:16" x14ac:dyDescent="0.35">
      <c r="A51" s="3">
        <v>45200</v>
      </c>
      <c r="B51">
        <v>150.029999</v>
      </c>
      <c r="C51" s="37">
        <v>2.8188003021612219E-2</v>
      </c>
      <c r="E51">
        <v>396.14999399999999</v>
      </c>
      <c r="F51" s="37">
        <v>7.4744934736415839E-3</v>
      </c>
      <c r="H51">
        <v>101.30561636952048</v>
      </c>
      <c r="I51" s="37">
        <v>1.1291666666667624E-3</v>
      </c>
      <c r="J51" s="17"/>
      <c r="K51" s="20">
        <v>1.3</v>
      </c>
      <c r="L51" s="21">
        <f xml:space="preserve"> portfolio_variance(($B$6:$B$53),($E$6:$E$53),K51, Y14)</f>
        <v>4.8379400908670336E-2</v>
      </c>
      <c r="M51" s="21">
        <f xml:space="preserve"> SQRT(portfolio_variance(($B$6:$B$53),($E$6:$E$53),K51, Y14))</f>
        <v>0.21995317890103416</v>
      </c>
      <c r="N51" s="22">
        <f>portfolio_mean_return(($B$6:$B$53),($E$6:$E$53),K51, Y14)</f>
        <v>9.227331334882391E-3</v>
      </c>
      <c r="O51" s="11"/>
      <c r="P51" s="11">
        <f xml:space="preserve"> sharpe_ratio(($B$6:$B$53),($E$6:$E$53), K51,($H$6:$H$53), Y14)</f>
        <v>6.9124926912463901E-3</v>
      </c>
    </row>
    <row r="52" spans="1:16" x14ac:dyDescent="0.35">
      <c r="A52" s="3">
        <v>45231</v>
      </c>
      <c r="B52">
        <v>153.520004</v>
      </c>
      <c r="C52" s="37">
        <v>2.2995610321092829E-2</v>
      </c>
      <c r="E52">
        <v>431.04998799999998</v>
      </c>
      <c r="F52" s="37">
        <v>8.4431152551463079E-2</v>
      </c>
      <c r="H52">
        <v>101.42641085478024</v>
      </c>
      <c r="I52" s="37">
        <v>1.1916666666666497E-3</v>
      </c>
      <c r="J52" s="17"/>
      <c r="K52" s="20">
        <v>1.4</v>
      </c>
      <c r="L52" s="21">
        <f xml:space="preserve"> portfolio_variance(($B$6:$B$53),($E$6:$E$53),K52, Y14)</f>
        <v>5.5043053410992478E-2</v>
      </c>
      <c r="M52" s="21">
        <f xml:space="preserve"> SQRT(portfolio_variance(($B$6:$B$53),($E$6:$E$53),K52, Y14))</f>
        <v>0.23461256021575758</v>
      </c>
      <c r="N52" s="22">
        <f>portfolio_mean_return(($B$6:$B$53),($E$6:$E$53),K52, Y14)</f>
        <v>-1.4866149385140779E-3</v>
      </c>
      <c r="O52" s="11"/>
      <c r="P52" s="11">
        <f xml:space="preserve"> sharpe_ratio(($B$6:$B$53),($E$6:$E$53), K52,($H$6:$H$53), Y14)</f>
        <v>-6.7022206291873568E-3</v>
      </c>
    </row>
    <row r="53" spans="1:16" x14ac:dyDescent="0.35">
      <c r="A53" s="3">
        <v>45261</v>
      </c>
      <c r="B53">
        <v>146.53999300000001</v>
      </c>
      <c r="C53" s="37">
        <v>-4.6532496791391834E-2</v>
      </c>
      <c r="E53">
        <v>450.64999399999999</v>
      </c>
      <c r="F53" s="37">
        <v>4.4466906871381051E-2</v>
      </c>
      <c r="H53">
        <v>101.56325970361574</v>
      </c>
      <c r="I53" s="37">
        <v>1.3483333333333789E-3</v>
      </c>
      <c r="J53" s="17"/>
      <c r="K53" s="20">
        <v>1.5</v>
      </c>
      <c r="L53" s="21">
        <f xml:space="preserve"> portfolio_variance(($B$6:$B$53),($E$6:$E$53),K53, Y14)</f>
        <v>6.2618996616084915E-2</v>
      </c>
      <c r="M53" s="21">
        <f xml:space="preserve"> SQRT(portfolio_variance(($B$6:$B$53),($E$6:$E$53),K53, Y14))</f>
        <v>0.25023788005832553</v>
      </c>
      <c r="N53" s="22">
        <f>portfolio_mean_return(($B$6:$B$53),($E$6:$E$53),K53, Y14)</f>
        <v>-1.2200561211910606E-2</v>
      </c>
      <c r="O53" s="11"/>
      <c r="P53" s="11">
        <f xml:space="preserve"> sharpe_ratio(($B$6:$B$53),($E$6:$E$53), K53,($H$6:$H$53), Y14)</f>
        <v>-1.8643360559046713E-2</v>
      </c>
    </row>
    <row r="54" spans="1:16" x14ac:dyDescent="0.35">
      <c r="C54" s="39"/>
      <c r="F54" s="40"/>
      <c r="I54" s="40"/>
      <c r="J54" s="17"/>
      <c r="K54" s="20">
        <v>1.6</v>
      </c>
      <c r="L54" s="21">
        <f xml:space="preserve"> portfolio_variance(($B$6:$B$53),($E$6:$E$53),K54, Y14)</f>
        <v>7.1107230523947643E-2</v>
      </c>
      <c r="M54" s="21">
        <f xml:space="preserve"> SQRT(portfolio_variance(($B$6:$B$53),($E$6:$E$53),K54, Y14))</f>
        <v>0.26665939046646686</v>
      </c>
      <c r="N54" s="22">
        <f>portfolio_mean_return(($B$6:$B$53),($E$6:$E$53),K54, Y14)</f>
        <v>-2.2914507485307135E-2</v>
      </c>
      <c r="O54" s="11"/>
      <c r="P54" s="11">
        <f xml:space="preserve"> sharpe_ratio(($B$6:$B$53),($E$6:$E$53), K54,($H$6:$H$53), Y14)</f>
        <v>-2.9093762242544355E-2</v>
      </c>
    </row>
    <row r="55" spans="1:16" x14ac:dyDescent="0.35">
      <c r="C55" s="39"/>
      <c r="F55" s="40"/>
      <c r="I55" s="40"/>
      <c r="J55" s="17"/>
      <c r="K55" s="20">
        <v>1.7</v>
      </c>
      <c r="L55" s="21">
        <f xml:space="preserve"> portfolio_variance(($B$6:$B$53),($E$6:$E$53),K55, Y14)</f>
        <v>8.0507755134580597E-2</v>
      </c>
      <c r="M55" s="21">
        <f xml:space="preserve"> SQRT(portfolio_variance(($B$6:$B$53),($E$6:$E$53),K55, Y14))</f>
        <v>0.28373888548202308</v>
      </c>
      <c r="N55" s="22">
        <f>portfolio_mean_return(($B$6:$B$53),($E$6:$E$53),K55, Y14)</f>
        <v>-3.362845375870363E-2</v>
      </c>
      <c r="O55" s="11"/>
      <c r="P55" s="11">
        <f xml:space="preserve"> sharpe_ratio(($B$6:$B$53),($E$6:$E$53), K55,($H$6:$H$53), Y14)</f>
        <v>-3.8242818815805213E-2</v>
      </c>
    </row>
    <row r="56" spans="1:16" x14ac:dyDescent="0.35">
      <c r="C56" s="39"/>
      <c r="F56" s="40"/>
      <c r="I56" s="40"/>
      <c r="J56" s="17"/>
      <c r="K56" s="20">
        <v>1.8</v>
      </c>
      <c r="L56" s="21">
        <f xml:space="preserve"> portfolio_variance(($B$6:$B$53),($E$6:$E$53),K56, Y14)</f>
        <v>9.0820570447983862E-2</v>
      </c>
      <c r="M56" s="21">
        <f xml:space="preserve"> SQRT(portfolio_variance(($B$6:$B$53),($E$6:$E$53),K56, Y14))</f>
        <v>0.30136451424808441</v>
      </c>
      <c r="N56" s="22">
        <f>portfolio_mean_return(($B$6:$B$53),($E$6:$E$53),K56, Y14)</f>
        <v>-4.4342400032100139E-2</v>
      </c>
      <c r="O56" s="11"/>
      <c r="P56" s="11">
        <f xml:space="preserve"> sharpe_ratio(($B$6:$B$53),($E$6:$E$53), K56,($H$6:$H$53), Y14)</f>
        <v>-4.6268966689035046E-2</v>
      </c>
    </row>
    <row r="57" spans="1:16" x14ac:dyDescent="0.35">
      <c r="C57" s="39"/>
      <c r="F57" s="40"/>
      <c r="I57" s="40"/>
      <c r="J57" s="17"/>
      <c r="K57" s="20">
        <v>1.9</v>
      </c>
      <c r="L57" s="21">
        <f xml:space="preserve"> portfolio_variance(($B$6:$B$53),($E$6:$E$53),K57, Y14)</f>
        <v>0.10204567646415738</v>
      </c>
      <c r="M57" s="21">
        <f xml:space="preserve"> SQRT(portfolio_variance(($B$6:$B$53),($E$6:$E$53),K57, Y14))</f>
        <v>0.31944588972806864</v>
      </c>
      <c r="N57" s="22">
        <f>portfolio_mean_return(($B$6:$B$53),($E$6:$E$53),K57, Y14)</f>
        <v>-5.5056346305496634E-2</v>
      </c>
      <c r="O57" s="11"/>
      <c r="P57" s="11">
        <f xml:space="preserve"> sharpe_ratio(($B$6:$B$53),($E$6:$E$53), K57,($H$6:$H$53), Y14)</f>
        <v>-5.333195730901031E-2</v>
      </c>
    </row>
    <row r="58" spans="1:16" x14ac:dyDescent="0.35">
      <c r="C58" s="39"/>
      <c r="F58" s="40"/>
      <c r="I58" s="40"/>
      <c r="J58" s="17"/>
      <c r="K58" s="20">
        <v>2</v>
      </c>
      <c r="L58" s="21">
        <f xml:space="preserve"> portfolio_variance(($B$6:$B$53),($E$6:$E$53),K58, Y14)</f>
        <v>0.1141830731831012</v>
      </c>
      <c r="M58" s="21">
        <f xml:space="preserve"> SQRT(portfolio_variance(($B$6:$B$53),($E$6:$E$53),K58, Y14))</f>
        <v>0.33790985955296005</v>
      </c>
      <c r="N58" s="22">
        <f>portfolio_mean_return(($B$6:$B$53),($E$6:$E$53),K58, Y14)</f>
        <v>-6.577029257889315E-2</v>
      </c>
      <c r="O58" s="11"/>
      <c r="P58" s="11">
        <f xml:space="preserve"> sharpe_ratio(($B$6:$B$53),($E$6:$E$53), K58,($H$6:$H$53), Y14)</f>
        <v>-5.957069279559047E-2</v>
      </c>
    </row>
    <row r="59" spans="1:16" x14ac:dyDescent="0.35">
      <c r="C59" s="39"/>
      <c r="F59" s="40"/>
      <c r="I59" s="40"/>
      <c r="J59" s="17"/>
      <c r="K59" s="20">
        <v>2.1</v>
      </c>
      <c r="L59" s="21">
        <f xml:space="preserve"> portfolio_variance(($B$6:$B$53),($E$6:$E$53),K59, Y14)</f>
        <v>0.12723276060481528</v>
      </c>
      <c r="M59" s="21">
        <f xml:space="preserve"> SQRT(portfolio_variance(($B$6:$B$53),($E$6:$E$53),K59, Y14))</f>
        <v>0.35669701513303315</v>
      </c>
      <c r="N59" s="22">
        <f>portfolio_mean_return(($B$6:$B$53),($E$6:$E$53),K59, Y14)</f>
        <v>-7.6484238852289665E-2</v>
      </c>
      <c r="O59" s="11"/>
      <c r="P59" s="11">
        <f xml:space="preserve"> sharpe_ratio(($B$6:$B$53),($E$6:$E$53), K59,($H$6:$H$53), Y14)</f>
        <v>-6.5103921068371873E-2</v>
      </c>
    </row>
    <row r="60" spans="1:16" x14ac:dyDescent="0.35">
      <c r="C60" s="39"/>
      <c r="F60" s="40"/>
      <c r="I60" s="40"/>
      <c r="J60" s="17"/>
      <c r="K60" s="20">
        <v>2.2000000000000002</v>
      </c>
      <c r="L60" s="21">
        <f xml:space="preserve"> portfolio_variance(($B$6:$B$53),($E$6:$E$53),K60, Y14)</f>
        <v>0.14119473872929955</v>
      </c>
      <c r="M60" s="21">
        <f xml:space="preserve"> SQRT(portfolio_variance(($B$6:$B$53),($E$6:$E$53),K60, Y14))</f>
        <v>0.37575888376630506</v>
      </c>
      <c r="N60" s="22">
        <f>portfolio_mean_return(($B$6:$B$53),($E$6:$E$53),K60, Y14)</f>
        <v>-8.7198185125686195E-2</v>
      </c>
      <c r="O60" s="11"/>
      <c r="P60" s="11">
        <f xml:space="preserve"> sharpe_ratio(($B$6:$B$53),($E$6:$E$53), K60,($H$6:$H$53), Y14)</f>
        <v>-7.0032207721335865E-2</v>
      </c>
    </row>
    <row r="61" spans="1:16" x14ac:dyDescent="0.35">
      <c r="C61" s="39"/>
      <c r="F61" s="40"/>
      <c r="I61" s="40"/>
      <c r="J61" s="17"/>
      <c r="K61" s="20">
        <v>2.2999999999999998</v>
      </c>
      <c r="L61" s="21">
        <f xml:space="preserve"> portfolio_variance(($B$6:$B$53),($E$6:$E$53),K61, Y14)</f>
        <v>0.15606900755655412</v>
      </c>
      <c r="M61" s="21">
        <f xml:space="preserve"> SQRT(portfolio_variance(($B$6:$B$53),($E$6:$E$53),K61, Y14))</f>
        <v>0.39505570184032796</v>
      </c>
      <c r="N61" s="22">
        <f>portfolio_mean_return(($B$6:$B$53),($E$6:$E$53),K61, Y14)</f>
        <v>-9.7912131399082697E-2</v>
      </c>
      <c r="O61" s="11"/>
      <c r="P61" s="11">
        <f xml:space="preserve"> sharpe_ratio(($B$6:$B$53),($E$6:$E$53), K61,($H$6:$H$53), Y14)</f>
        <v>-7.4440323090082985E-2</v>
      </c>
    </row>
    <row r="62" spans="1:16" x14ac:dyDescent="0.35">
      <c r="C62" s="39"/>
      <c r="F62" s="40"/>
      <c r="I62" s="40"/>
      <c r="J62" s="17"/>
      <c r="K62" s="20">
        <v>2.4</v>
      </c>
      <c r="L62" s="21">
        <f xml:space="preserve"> portfolio_variance(($B$6:$B$53),($E$6:$E$53),K62, Y14)</f>
        <v>0.17185556708657898</v>
      </c>
      <c r="M62" s="21">
        <f xml:space="preserve"> SQRT(portfolio_variance(($B$6:$B$53),($E$6:$E$53),K62, Y14))</f>
        <v>0.41455466115649814</v>
      </c>
      <c r="N62" s="22">
        <f>portfolio_mean_return(($B$6:$B$53),($E$6:$E$53),K62, Y14)</f>
        <v>-0.1086260776724792</v>
      </c>
      <c r="O62" s="11"/>
      <c r="P62" s="11">
        <f xml:space="preserve"> sharpe_ratio(($B$6:$B$53),($E$6:$E$53), K62,($H$6:$H$53), Y14)</f>
        <v>-7.839961050110697E-2</v>
      </c>
    </row>
    <row r="63" spans="1:16" x14ac:dyDescent="0.35">
      <c r="C63" s="39"/>
      <c r="F63" s="40"/>
      <c r="I63" s="40"/>
      <c r="J63" s="17"/>
      <c r="K63" s="20">
        <v>2.5</v>
      </c>
      <c r="L63" s="21">
        <f xml:space="preserve"> portfolio_variance(($B$6:$B$53),($E$6:$E$53),K63, Y14)</f>
        <v>0.18855441731937417</v>
      </c>
      <c r="M63" s="21">
        <f xml:space="preserve"> SQRT(portfolio_variance(($B$6:$B$53),($E$6:$E$53),K63, Y14))</f>
        <v>0.43422853121297106</v>
      </c>
      <c r="N63" s="22">
        <f>portfolio_mean_return(($B$6:$B$53),($E$6:$E$53),K63, Y14)</f>
        <v>-0.11934002394587573</v>
      </c>
      <c r="O63" s="11"/>
      <c r="P63" s="11">
        <f xml:space="preserve"> sharpe_ratio(($B$6:$B$53),($E$6:$E$53), K63,($H$6:$H$53), Y14)</f>
        <v>-8.1970140813121525E-2</v>
      </c>
    </row>
    <row r="64" spans="1:16" x14ac:dyDescent="0.35">
      <c r="C64" s="39"/>
      <c r="F64" s="40"/>
      <c r="I64" s="40"/>
      <c r="J64" s="17"/>
      <c r="K64" s="20">
        <v>2.6</v>
      </c>
      <c r="L64" s="21">
        <f xml:space="preserve"> portfolio_variance(($B$6:$B$53),($E$6:$E$53),K64, Y14)</f>
        <v>0.2061655582549396</v>
      </c>
      <c r="M64" s="21">
        <f xml:space="preserve"> SQRT(portfolio_variance(($B$6:$B$53),($E$6:$E$53),K64, Y14))</f>
        <v>0.45405457629555901</v>
      </c>
      <c r="N64" s="22">
        <f>portfolio_mean_return(($B$6:$B$53),($E$6:$E$53),K64, Y14)</f>
        <v>-0.13005397021927226</v>
      </c>
      <c r="O64" s="11"/>
      <c r="P64" s="11">
        <f xml:space="preserve"> sharpe_ratio(($B$6:$B$53),($E$6:$E$53), K64,($H$6:$H$53), Y14)</f>
        <v>-8.520258521947835E-2</v>
      </c>
    </row>
    <row r="65" spans="3:16" ht="15" thickBot="1" x14ac:dyDescent="0.4">
      <c r="C65" s="39"/>
      <c r="F65" s="40"/>
      <c r="I65" s="40"/>
      <c r="J65" s="17"/>
      <c r="K65" s="23">
        <v>2.7</v>
      </c>
      <c r="L65" s="24">
        <f xml:space="preserve"> portfolio_variance(($B$6:$B$53),($E$6:$E$53),K65, Y14)</f>
        <v>0.22468898989327529</v>
      </c>
      <c r="M65" s="24">
        <f xml:space="preserve"> SQRT(portfolio_variance(($B$6:$B$53),($E$6:$E$53),K65, Y14))</f>
        <v>0.47401370222101735</v>
      </c>
      <c r="N65" s="25">
        <f>portfolio_mean_return(($B$6:$B$53),($E$6:$E$53),K65, Y14)</f>
        <v>-0.14076791649266876</v>
      </c>
      <c r="O65" s="26"/>
      <c r="P65" s="26">
        <f xml:space="preserve"> sharpe_ratio(($B$6:$B$53),($E$6:$E$53), K65,($H$6:$H$53), Y14)</f>
        <v>-8.8139801482258431E-2</v>
      </c>
    </row>
    <row r="66" spans="3:16" x14ac:dyDescent="0.35">
      <c r="J66" s="27" t="s">
        <v>39</v>
      </c>
      <c r="K66" s="28">
        <f>P13</f>
        <v>-0.19955862878801778</v>
      </c>
      <c r="L66" s="28">
        <f xml:space="preserve"> portfolio_variance(($B$6:$B$53),($E$6:$E$53),K66, Y14)</f>
        <v>5.7866505913943163E-2</v>
      </c>
      <c r="M66" s="28">
        <f xml:space="preserve"> SQRT(portfolio_variance(($B$6:$B$53),($E$6:$E$53),K66, Y14))</f>
        <v>0.24055457990639706</v>
      </c>
      <c r="N66" s="28">
        <f>portfolio_mean_return(($B$6:$B$53),($E$6:$E$53),K66, Y14)</f>
        <v>0.16988923716131199</v>
      </c>
      <c r="O66" s="28">
        <v>0.16988923716131199</v>
      </c>
      <c r="P66" s="29">
        <f xml:space="preserve"> sharpe_ratio(($B$6:$B$53),($E$6:$E$53), K66,($H$6:$H$53), Y14)</f>
        <v>0.19912122250556136</v>
      </c>
    </row>
    <row r="67" spans="3:16" x14ac:dyDescent="0.35">
      <c r="J67" s="13" t="s">
        <v>18</v>
      </c>
      <c r="K67" s="11">
        <v>0</v>
      </c>
      <c r="L67" s="21">
        <f xml:space="preserve"> portfolio_variance(($B$6:$B$53),($E$6:$E$53),K67, Y14)</f>
        <v>4.4770372330576673E-2</v>
      </c>
      <c r="M67" s="11">
        <v>0</v>
      </c>
      <c r="N67" s="11"/>
      <c r="O67" s="21">
        <f>IF($R$19=2,$O$66*K67+$O$5*(1-K67),-1)</f>
        <v>3.9604255319150147E-3</v>
      </c>
      <c r="P67" s="11"/>
    </row>
    <row r="68" spans="3:16" x14ac:dyDescent="0.35">
      <c r="J68" s="27" t="s">
        <v>18</v>
      </c>
      <c r="K68" s="30">
        <v>3.5</v>
      </c>
      <c r="L68" s="30">
        <f xml:space="preserve"> portfolio_variance(($B$6:$B$53),($E$6:$E$53),K68, Y14)</f>
        <v>0.40571890829969043</v>
      </c>
      <c r="M68" s="28">
        <f>K68*M66</f>
        <v>0.84194102967238971</v>
      </c>
      <c r="N68" s="31"/>
      <c r="O68" s="28">
        <f>IF($R$19=2,$O$66*K68+$O$5*(1-K68),-1)</f>
        <v>0.58471126623480452</v>
      </c>
      <c r="P68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Group Box 1">
              <controlPr defaultSize="0" autoFill="0" autoPict="0">
                <anchor moveWithCells="1">
                  <from>
                    <xdr:col>16</xdr:col>
                    <xdr:colOff>603250</xdr:colOff>
                    <xdr:row>19</xdr:row>
                    <xdr:rowOff>107950</xdr:rowOff>
                  </from>
                  <to>
                    <xdr:col>19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 altText="Frontier Curve">
                <anchor moveWithCells="1">
                  <from>
                    <xdr:col>17</xdr:col>
                    <xdr:colOff>133350</xdr:colOff>
                    <xdr:row>20</xdr:row>
                    <xdr:rowOff>76200</xdr:rowOff>
                  </from>
                  <to>
                    <xdr:col>18</xdr:col>
                    <xdr:colOff>457200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Option Button 3">
              <controlPr defaultSize="0" autoFill="0" autoLine="0" autoPict="0">
                <anchor moveWithCells="1">
                  <from>
                    <xdr:col>17</xdr:col>
                    <xdr:colOff>133350</xdr:colOff>
                    <xdr:row>21</xdr:row>
                    <xdr:rowOff>171450</xdr:rowOff>
                  </from>
                  <to>
                    <xdr:col>18</xdr:col>
                    <xdr:colOff>457200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Portfolio_Analysis">
                <anchor moveWithCells="1" sizeWithCells="1">
                  <from>
                    <xdr:col>16</xdr:col>
                    <xdr:colOff>565150</xdr:colOff>
                    <xdr:row>15</xdr:row>
                    <xdr:rowOff>114300</xdr:rowOff>
                  </from>
                  <to>
                    <xdr:col>19</xdr:col>
                    <xdr:colOff>31750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clearResult">
                <anchor moveWithCells="1" sizeWithCells="1">
                  <from>
                    <xdr:col>16</xdr:col>
                    <xdr:colOff>603250</xdr:colOff>
                    <xdr:row>24</xdr:row>
                    <xdr:rowOff>31750</xdr:rowOff>
                  </from>
                  <to>
                    <xdr:col>19</xdr:col>
                    <xdr:colOff>95250</xdr:colOff>
                    <xdr:row>27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PortAnalysis</vt:lpstr>
    </vt:vector>
  </TitlesOfParts>
  <Company>Université de Nice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Teller</dc:creator>
  <cp:lastModifiedBy>zineb ahiri</cp:lastModifiedBy>
  <dcterms:created xsi:type="dcterms:W3CDTF">2017-03-02T16:14:54Z</dcterms:created>
  <dcterms:modified xsi:type="dcterms:W3CDTF">2024-01-02T03:35:21Z</dcterms:modified>
</cp:coreProperties>
</file>